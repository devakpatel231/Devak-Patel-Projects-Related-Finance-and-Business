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threadedComments/threadedComment1.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227"/>
  <workbookPr defaultThemeVersion="166925"/>
  <mc:AlternateContent xmlns:mc="http://schemas.openxmlformats.org/markup-compatibility/2006">
    <mc:Choice Requires="x15">
      <x15ac:absPath xmlns:x15ac="http://schemas.microsoft.com/office/spreadsheetml/2010/11/ac" url="C:\Users\admin\Downloads\Financial Modeling\"/>
    </mc:Choice>
  </mc:AlternateContent>
  <xr:revisionPtr revIDLastSave="0" documentId="13_ncr:1_{9F225472-C19D-43CF-A183-80C2D9B7BCFF}" xr6:coauthVersionLast="47" xr6:coauthVersionMax="47" xr10:uidLastSave="{00000000-0000-0000-0000-000000000000}"/>
  <bookViews>
    <workbookView xWindow="-108" yWindow="-108" windowWidth="23256" windowHeight="12456" firstSheet="7" activeTab="12" xr2:uid="{65104E27-4C40-4541-B291-ACB82E390A11}"/>
  </bookViews>
  <sheets>
    <sheet name="Cover sheet" sheetId="13" r:id="rId1"/>
    <sheet name="EIC Analysis" sheetId="14" r:id="rId2"/>
    <sheet name="Case" sheetId="7" r:id="rId3"/>
    <sheet name="Assumptions " sheetId="12" r:id="rId4"/>
    <sheet name="Input" sheetId="3" r:id="rId5"/>
    <sheet name="Model- Income statement" sheetId="8" r:id="rId6"/>
    <sheet name="Balance sheet" sheetId="10" r:id="rId7"/>
    <sheet name="Cash flow" sheetId="11" r:id="rId8"/>
    <sheet name="Ratios" sheetId="15" r:id="rId9"/>
    <sheet name="Beta &amp; Rm" sheetId="18" r:id="rId10"/>
    <sheet name="Scenario Summary DDM" sheetId="22" r:id="rId11"/>
    <sheet name="Valuation- DDM" sheetId="19" r:id="rId12"/>
    <sheet name="Valuation- FCFF " sheetId="16" r:id="rId13"/>
    <sheet name="Relative Valuation" sheetId="17" r:id="rId14"/>
    <sheet name="Buy &amp; Sell Decision" sheetId="20" r:id="rId15"/>
  </sheets>
  <definedNames>
    <definedName name="Stable_Growth_Rate">'Valuation- DDM'!$C$16</definedName>
    <definedName name="Value_Per_Share">'Valuation- DDM'!$C$11</definedName>
  </definedNames>
  <calcPr calcId="191029" iterate="1"/>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21" i="16" l="1"/>
  <c r="M14" i="16"/>
  <c r="C19" i="16"/>
  <c r="C18" i="16"/>
  <c r="F10" i="3" l="1"/>
  <c r="G10" i="3"/>
  <c r="L6" i="18"/>
  <c r="L9" i="18"/>
  <c r="I36" i="3" l="1"/>
  <c r="G40" i="3"/>
  <c r="C8" i="20" l="1"/>
  <c r="C7" i="20"/>
  <c r="C6" i="20"/>
  <c r="J38" i="3"/>
  <c r="J39" i="3"/>
  <c r="K39" i="3" s="1"/>
  <c r="L39" i="3" s="1"/>
  <c r="C19" i="19"/>
  <c r="M6" i="19"/>
  <c r="G114" i="3"/>
  <c r="F137" i="3" l="1"/>
  <c r="D5" i="20" s="1"/>
  <c r="F5" i="20" l="1"/>
  <c r="E5" i="20"/>
  <c r="D8" i="20"/>
  <c r="D6" i="20"/>
  <c r="D10" i="20"/>
  <c r="D9" i="20"/>
  <c r="D7" i="20"/>
  <c r="C27" i="16"/>
  <c r="G130" i="3"/>
  <c r="J45" i="10" s="1"/>
  <c r="I45" i="10" l="1"/>
  <c r="H45" i="10"/>
  <c r="E7" i="20"/>
  <c r="F7" i="20"/>
  <c r="G45" i="10"/>
  <c r="K45" i="10"/>
  <c r="F6" i="20"/>
  <c r="E6" i="20"/>
  <c r="E8" i="20"/>
  <c r="F8" i="20"/>
  <c r="G120" i="3" l="1"/>
  <c r="C120" i="3"/>
  <c r="D120" i="3"/>
  <c r="E120" i="3"/>
  <c r="F120" i="3"/>
  <c r="B120" i="3"/>
  <c r="C127" i="3"/>
  <c r="G121" i="3"/>
  <c r="B31" i="10" l="1"/>
  <c r="B92" i="3"/>
  <c r="B122" i="3" l="1"/>
  <c r="C122" i="3"/>
  <c r="D122" i="3"/>
  <c r="E122" i="3"/>
  <c r="F122" i="3"/>
  <c r="C14" i="10"/>
  <c r="G81" i="3"/>
  <c r="C70" i="3"/>
  <c r="D70" i="3"/>
  <c r="D72" i="3" s="1"/>
  <c r="E70" i="3"/>
  <c r="E72" i="3" s="1"/>
  <c r="F70" i="3"/>
  <c r="B70" i="3"/>
  <c r="B72" i="3" s="1"/>
  <c r="G122" i="3" l="1"/>
  <c r="F72" i="3"/>
  <c r="I65" i="3"/>
  <c r="C72" i="3"/>
  <c r="G72" i="3" s="1"/>
  <c r="C68" i="3"/>
  <c r="D68" i="3"/>
  <c r="E68" i="3"/>
  <c r="F68" i="3"/>
  <c r="B68" i="3"/>
  <c r="B93" i="3"/>
  <c r="C65" i="3" l="1"/>
  <c r="B74" i="3"/>
  <c r="B65" i="3"/>
  <c r="F65" i="3"/>
  <c r="E65" i="3"/>
  <c r="D65" i="3"/>
  <c r="B110" i="3"/>
  <c r="B111" i="3" s="1"/>
  <c r="K67" i="7"/>
  <c r="J36" i="3" l="1"/>
  <c r="C51" i="3"/>
  <c r="D51" i="3"/>
  <c r="E51" i="3"/>
  <c r="F51" i="3"/>
  <c r="B51" i="3"/>
  <c r="C47" i="3"/>
  <c r="D47" i="3"/>
  <c r="E47" i="3"/>
  <c r="F47" i="3"/>
  <c r="B47" i="3"/>
  <c r="I3" i="19"/>
  <c r="J3" i="19" s="1"/>
  <c r="K3" i="19" s="1"/>
  <c r="L3" i="19" s="1"/>
  <c r="M3" i="19" s="1"/>
  <c r="C5" i="19"/>
  <c r="F9" i="17"/>
  <c r="C9" i="16"/>
  <c r="C21" i="19"/>
  <c r="I5" i="18"/>
  <c r="D5" i="18"/>
  <c r="C7" i="16"/>
  <c r="C6" i="16"/>
  <c r="I3" i="16"/>
  <c r="J3" i="16" s="1"/>
  <c r="K3" i="16" s="1"/>
  <c r="L3" i="16" s="1"/>
  <c r="M3" i="16" s="1"/>
  <c r="I250" i="18"/>
  <c r="D250" i="18"/>
  <c r="I249" i="18"/>
  <c r="D249" i="18"/>
  <c r="I248" i="18"/>
  <c r="D248" i="18"/>
  <c r="I247" i="18"/>
  <c r="D247" i="18"/>
  <c r="I246" i="18"/>
  <c r="D246" i="18"/>
  <c r="I245" i="18"/>
  <c r="D245" i="18"/>
  <c r="I244" i="18"/>
  <c r="D244" i="18"/>
  <c r="I243" i="18"/>
  <c r="D243" i="18"/>
  <c r="I242" i="18"/>
  <c r="D242" i="18"/>
  <c r="I241" i="18"/>
  <c r="D241" i="18"/>
  <c r="I240" i="18"/>
  <c r="D240" i="18"/>
  <c r="I239" i="18"/>
  <c r="D239" i="18"/>
  <c r="I238" i="18"/>
  <c r="D238" i="18"/>
  <c r="I237" i="18"/>
  <c r="D237" i="18"/>
  <c r="I236" i="18"/>
  <c r="D236" i="18"/>
  <c r="I235" i="18"/>
  <c r="D235" i="18"/>
  <c r="I234" i="18"/>
  <c r="D234" i="18"/>
  <c r="I233" i="18"/>
  <c r="D233" i="18"/>
  <c r="I232" i="18"/>
  <c r="D232" i="18"/>
  <c r="I231" i="18"/>
  <c r="D231" i="18"/>
  <c r="I230" i="18"/>
  <c r="D230" i="18"/>
  <c r="I229" i="18"/>
  <c r="D229" i="18"/>
  <c r="I228" i="18"/>
  <c r="D228" i="18"/>
  <c r="I227" i="18"/>
  <c r="D227" i="18"/>
  <c r="I226" i="18"/>
  <c r="D226" i="18"/>
  <c r="I225" i="18"/>
  <c r="D225" i="18"/>
  <c r="I224" i="18"/>
  <c r="D224" i="18"/>
  <c r="I223" i="18"/>
  <c r="D223" i="18"/>
  <c r="I222" i="18"/>
  <c r="D222" i="18"/>
  <c r="I221" i="18"/>
  <c r="D221" i="18"/>
  <c r="I220" i="18"/>
  <c r="D220" i="18"/>
  <c r="I219" i="18"/>
  <c r="D219" i="18"/>
  <c r="I218" i="18"/>
  <c r="D218" i="18"/>
  <c r="I217" i="18"/>
  <c r="D217" i="18"/>
  <c r="I216" i="18"/>
  <c r="D216" i="18"/>
  <c r="I215" i="18"/>
  <c r="D215" i="18"/>
  <c r="I214" i="18"/>
  <c r="D214" i="18"/>
  <c r="I213" i="18"/>
  <c r="D213" i="18"/>
  <c r="I212" i="18"/>
  <c r="D212" i="18"/>
  <c r="I211" i="18"/>
  <c r="D211" i="18"/>
  <c r="I210" i="18"/>
  <c r="D210" i="18"/>
  <c r="I209" i="18"/>
  <c r="D209" i="18"/>
  <c r="I208" i="18"/>
  <c r="D208" i="18"/>
  <c r="I207" i="18"/>
  <c r="D207" i="18"/>
  <c r="I206" i="18"/>
  <c r="D206" i="18"/>
  <c r="I205" i="18"/>
  <c r="D205" i="18"/>
  <c r="I204" i="18"/>
  <c r="D204" i="18"/>
  <c r="I203" i="18"/>
  <c r="D203" i="18"/>
  <c r="I202" i="18"/>
  <c r="D202" i="18"/>
  <c r="I201" i="18"/>
  <c r="D201" i="18"/>
  <c r="I200" i="18"/>
  <c r="D200" i="18"/>
  <c r="I199" i="18"/>
  <c r="D199" i="18"/>
  <c r="I198" i="18"/>
  <c r="D198" i="18"/>
  <c r="I197" i="18"/>
  <c r="D197" i="18"/>
  <c r="I196" i="18"/>
  <c r="D196" i="18"/>
  <c r="I195" i="18"/>
  <c r="D195" i="18"/>
  <c r="I194" i="18"/>
  <c r="D194" i="18"/>
  <c r="I193" i="18"/>
  <c r="D193" i="18"/>
  <c r="I192" i="18"/>
  <c r="D192" i="18"/>
  <c r="I191" i="18"/>
  <c r="D191" i="18"/>
  <c r="I190" i="18"/>
  <c r="D190" i="18"/>
  <c r="I189" i="18"/>
  <c r="D189" i="18"/>
  <c r="I188" i="18"/>
  <c r="D188" i="18"/>
  <c r="I187" i="18"/>
  <c r="D187" i="18"/>
  <c r="I186" i="18"/>
  <c r="D186" i="18"/>
  <c r="I185" i="18"/>
  <c r="D185" i="18"/>
  <c r="I184" i="18"/>
  <c r="D184" i="18"/>
  <c r="I183" i="18"/>
  <c r="D183" i="18"/>
  <c r="I182" i="18"/>
  <c r="D182" i="18"/>
  <c r="I181" i="18"/>
  <c r="D181" i="18"/>
  <c r="I180" i="18"/>
  <c r="D180" i="18"/>
  <c r="I179" i="18"/>
  <c r="D179" i="18"/>
  <c r="I178" i="18"/>
  <c r="D178" i="18"/>
  <c r="I177" i="18"/>
  <c r="D177" i="18"/>
  <c r="I176" i="18"/>
  <c r="D176" i="18"/>
  <c r="I175" i="18"/>
  <c r="D175" i="18"/>
  <c r="I174" i="18"/>
  <c r="D174" i="18"/>
  <c r="I173" i="18"/>
  <c r="D173" i="18"/>
  <c r="I172" i="18"/>
  <c r="D172" i="18"/>
  <c r="I171" i="18"/>
  <c r="D171" i="18"/>
  <c r="I170" i="18"/>
  <c r="D170" i="18"/>
  <c r="I169" i="18"/>
  <c r="D169" i="18"/>
  <c r="I168" i="18"/>
  <c r="D168" i="18"/>
  <c r="I167" i="18"/>
  <c r="D167" i="18"/>
  <c r="I166" i="18"/>
  <c r="D166" i="18"/>
  <c r="I165" i="18"/>
  <c r="D165" i="18"/>
  <c r="I164" i="18"/>
  <c r="D164" i="18"/>
  <c r="I163" i="18"/>
  <c r="D163" i="18"/>
  <c r="I162" i="18"/>
  <c r="D162" i="18"/>
  <c r="I161" i="18"/>
  <c r="D161" i="18"/>
  <c r="I160" i="18"/>
  <c r="D160" i="18"/>
  <c r="I159" i="18"/>
  <c r="D159" i="18"/>
  <c r="I158" i="18"/>
  <c r="D158" i="18"/>
  <c r="I157" i="18"/>
  <c r="D157" i="18"/>
  <c r="I156" i="18"/>
  <c r="D156" i="18"/>
  <c r="I155" i="18"/>
  <c r="D155" i="18"/>
  <c r="I154" i="18"/>
  <c r="D154" i="18"/>
  <c r="I153" i="18"/>
  <c r="D153" i="18"/>
  <c r="I152" i="18"/>
  <c r="D152" i="18"/>
  <c r="I151" i="18"/>
  <c r="D151" i="18"/>
  <c r="I150" i="18"/>
  <c r="D150" i="18"/>
  <c r="I149" i="18"/>
  <c r="D149" i="18"/>
  <c r="I148" i="18"/>
  <c r="D148" i="18"/>
  <c r="I147" i="18"/>
  <c r="D147" i="18"/>
  <c r="I146" i="18"/>
  <c r="D146" i="18"/>
  <c r="I145" i="18"/>
  <c r="D145" i="18"/>
  <c r="I144" i="18"/>
  <c r="D144" i="18"/>
  <c r="I143" i="18"/>
  <c r="D143" i="18"/>
  <c r="I142" i="18"/>
  <c r="D142" i="18"/>
  <c r="I141" i="18"/>
  <c r="D141" i="18"/>
  <c r="I140" i="18"/>
  <c r="D140" i="18"/>
  <c r="I139" i="18"/>
  <c r="D139" i="18"/>
  <c r="I138" i="18"/>
  <c r="D138" i="18"/>
  <c r="I137" i="18"/>
  <c r="D137" i="18"/>
  <c r="I136" i="18"/>
  <c r="D136" i="18"/>
  <c r="I135" i="18"/>
  <c r="D135" i="18"/>
  <c r="I134" i="18"/>
  <c r="D134" i="18"/>
  <c r="I133" i="18"/>
  <c r="D133" i="18"/>
  <c r="I132" i="18"/>
  <c r="D132" i="18"/>
  <c r="I131" i="18"/>
  <c r="D131" i="18"/>
  <c r="I130" i="18"/>
  <c r="D130" i="18"/>
  <c r="I129" i="18"/>
  <c r="D129" i="18"/>
  <c r="I128" i="18"/>
  <c r="D128" i="18"/>
  <c r="I127" i="18"/>
  <c r="D127" i="18"/>
  <c r="I126" i="18"/>
  <c r="D126" i="18"/>
  <c r="I125" i="18"/>
  <c r="D125" i="18"/>
  <c r="I124" i="18"/>
  <c r="D124" i="18"/>
  <c r="I123" i="18"/>
  <c r="D123" i="18"/>
  <c r="I122" i="18"/>
  <c r="D122" i="18"/>
  <c r="I121" i="18"/>
  <c r="D121" i="18"/>
  <c r="I120" i="18"/>
  <c r="D120" i="18"/>
  <c r="I119" i="18"/>
  <c r="D119" i="18"/>
  <c r="I118" i="18"/>
  <c r="D118" i="18"/>
  <c r="I117" i="18"/>
  <c r="D117" i="18"/>
  <c r="I116" i="18"/>
  <c r="D116" i="18"/>
  <c r="I115" i="18"/>
  <c r="D115" i="18"/>
  <c r="I114" i="18"/>
  <c r="D114" i="18"/>
  <c r="I113" i="18"/>
  <c r="D113" i="18"/>
  <c r="I112" i="18"/>
  <c r="D112" i="18"/>
  <c r="I111" i="18"/>
  <c r="D111" i="18"/>
  <c r="I110" i="18"/>
  <c r="D110" i="18"/>
  <c r="I109" i="18"/>
  <c r="D109" i="18"/>
  <c r="I108" i="18"/>
  <c r="D108" i="18"/>
  <c r="I107" i="18"/>
  <c r="D107" i="18"/>
  <c r="I106" i="18"/>
  <c r="D106" i="18"/>
  <c r="I105" i="18"/>
  <c r="D105" i="18"/>
  <c r="I104" i="18"/>
  <c r="D104" i="18"/>
  <c r="I103" i="18"/>
  <c r="D103" i="18"/>
  <c r="I102" i="18"/>
  <c r="D102" i="18"/>
  <c r="I101" i="18"/>
  <c r="D101" i="18"/>
  <c r="I100" i="18"/>
  <c r="D100" i="18"/>
  <c r="I99" i="18"/>
  <c r="D99" i="18"/>
  <c r="I98" i="18"/>
  <c r="D98" i="18"/>
  <c r="I97" i="18"/>
  <c r="D97" i="18"/>
  <c r="I96" i="18"/>
  <c r="D96" i="18"/>
  <c r="I95" i="18"/>
  <c r="D95" i="18"/>
  <c r="I94" i="18"/>
  <c r="D94" i="18"/>
  <c r="I93" i="18"/>
  <c r="D93" i="18"/>
  <c r="I92" i="18"/>
  <c r="D92" i="18"/>
  <c r="I91" i="18"/>
  <c r="D91" i="18"/>
  <c r="I90" i="18"/>
  <c r="D90" i="18"/>
  <c r="I89" i="18"/>
  <c r="D89" i="18"/>
  <c r="I88" i="18"/>
  <c r="D88" i="18"/>
  <c r="I87" i="18"/>
  <c r="D87" i="18"/>
  <c r="I86" i="18"/>
  <c r="D86" i="18"/>
  <c r="I85" i="18"/>
  <c r="D85" i="18"/>
  <c r="I84" i="18"/>
  <c r="D84" i="18"/>
  <c r="I83" i="18"/>
  <c r="D83" i="18"/>
  <c r="I82" i="18"/>
  <c r="D82" i="18"/>
  <c r="I81" i="18"/>
  <c r="D81" i="18"/>
  <c r="I80" i="18"/>
  <c r="D80" i="18"/>
  <c r="I79" i="18"/>
  <c r="D79" i="18"/>
  <c r="I78" i="18"/>
  <c r="D78" i="18"/>
  <c r="I77" i="18"/>
  <c r="D77" i="18"/>
  <c r="I76" i="18"/>
  <c r="D76" i="18"/>
  <c r="I75" i="18"/>
  <c r="D75" i="18"/>
  <c r="I74" i="18"/>
  <c r="D74" i="18"/>
  <c r="I73" i="18"/>
  <c r="D73" i="18"/>
  <c r="I72" i="18"/>
  <c r="D72" i="18"/>
  <c r="I71" i="18"/>
  <c r="D71" i="18"/>
  <c r="I70" i="18"/>
  <c r="D70" i="18"/>
  <c r="I69" i="18"/>
  <c r="D69" i="18"/>
  <c r="I68" i="18"/>
  <c r="D68" i="18"/>
  <c r="I67" i="18"/>
  <c r="D67" i="18"/>
  <c r="I66" i="18"/>
  <c r="D66" i="18"/>
  <c r="I65" i="18"/>
  <c r="D65" i="18"/>
  <c r="I64" i="18"/>
  <c r="D64" i="18"/>
  <c r="I63" i="18"/>
  <c r="D63" i="18"/>
  <c r="I62" i="18"/>
  <c r="D62" i="18"/>
  <c r="I61" i="18"/>
  <c r="D61" i="18"/>
  <c r="I60" i="18"/>
  <c r="D60" i="18"/>
  <c r="I59" i="18"/>
  <c r="D59" i="18"/>
  <c r="I58" i="18"/>
  <c r="D58" i="18"/>
  <c r="I57" i="18"/>
  <c r="D57" i="18"/>
  <c r="I56" i="18"/>
  <c r="D56" i="18"/>
  <c r="I55" i="18"/>
  <c r="D55" i="18"/>
  <c r="I54" i="18"/>
  <c r="D54" i="18"/>
  <c r="I53" i="18"/>
  <c r="D53" i="18"/>
  <c r="I52" i="18"/>
  <c r="D52" i="18"/>
  <c r="I51" i="18"/>
  <c r="D51" i="18"/>
  <c r="I50" i="18"/>
  <c r="D50" i="18"/>
  <c r="I49" i="18"/>
  <c r="D49" i="18"/>
  <c r="I48" i="18"/>
  <c r="D48" i="18"/>
  <c r="I47" i="18"/>
  <c r="D47" i="18"/>
  <c r="I46" i="18"/>
  <c r="D46" i="18"/>
  <c r="I45" i="18"/>
  <c r="D45" i="18"/>
  <c r="I44" i="18"/>
  <c r="D44" i="18"/>
  <c r="I43" i="18"/>
  <c r="D43" i="18"/>
  <c r="I42" i="18"/>
  <c r="D42" i="18"/>
  <c r="I41" i="18"/>
  <c r="D41" i="18"/>
  <c r="I40" i="18"/>
  <c r="D40" i="18"/>
  <c r="I39" i="18"/>
  <c r="D39" i="18"/>
  <c r="I38" i="18"/>
  <c r="D38" i="18"/>
  <c r="I37" i="18"/>
  <c r="D37" i="18"/>
  <c r="I36" i="18"/>
  <c r="D36" i="18"/>
  <c r="I35" i="18"/>
  <c r="D35" i="18"/>
  <c r="I34" i="18"/>
  <c r="D34" i="18"/>
  <c r="I33" i="18"/>
  <c r="D33" i="18"/>
  <c r="I32" i="18"/>
  <c r="D32" i="18"/>
  <c r="I31" i="18"/>
  <c r="D31" i="18"/>
  <c r="I30" i="18"/>
  <c r="D30" i="18"/>
  <c r="I29" i="18"/>
  <c r="D29" i="18"/>
  <c r="I28" i="18"/>
  <c r="D28" i="18"/>
  <c r="I27" i="18"/>
  <c r="D27" i="18"/>
  <c r="I26" i="18"/>
  <c r="D26" i="18"/>
  <c r="I25" i="18"/>
  <c r="D25" i="18"/>
  <c r="I24" i="18"/>
  <c r="D24" i="18"/>
  <c r="I23" i="18"/>
  <c r="D23" i="18"/>
  <c r="I22" i="18"/>
  <c r="D22" i="18"/>
  <c r="I21" i="18"/>
  <c r="D21" i="18"/>
  <c r="I20" i="18"/>
  <c r="D20" i="18"/>
  <c r="I19" i="18"/>
  <c r="D19" i="18"/>
  <c r="I18" i="18"/>
  <c r="D18" i="18"/>
  <c r="I17" i="18"/>
  <c r="D17" i="18"/>
  <c r="I16" i="18"/>
  <c r="D16" i="18"/>
  <c r="I15" i="18"/>
  <c r="D15" i="18"/>
  <c r="I14" i="18"/>
  <c r="D14" i="18"/>
  <c r="I13" i="18"/>
  <c r="D13" i="18"/>
  <c r="I12" i="18"/>
  <c r="D12" i="18"/>
  <c r="I11" i="18"/>
  <c r="D11" i="18"/>
  <c r="I10" i="18"/>
  <c r="D10" i="18"/>
  <c r="I9" i="18"/>
  <c r="D9" i="18"/>
  <c r="I8" i="18"/>
  <c r="D8" i="18"/>
  <c r="I7" i="18"/>
  <c r="D7" i="18"/>
  <c r="I6" i="18"/>
  <c r="D6" i="18"/>
  <c r="L5" i="18" l="1"/>
  <c r="M137" i="3"/>
  <c r="L137" i="3"/>
  <c r="K137" i="3"/>
  <c r="J137" i="3"/>
  <c r="I137" i="3"/>
  <c r="C20" i="19" l="1"/>
  <c r="C18" i="19" s="1"/>
  <c r="C32" i="16"/>
  <c r="F32" i="16"/>
  <c r="E32" i="16"/>
  <c r="D32" i="16"/>
  <c r="G32" i="16"/>
  <c r="H32" i="16"/>
  <c r="C24" i="17"/>
  <c r="C23" i="17"/>
  <c r="C43" i="3"/>
  <c r="D43" i="3"/>
  <c r="E43" i="3"/>
  <c r="F43" i="3"/>
  <c r="C74" i="3"/>
  <c r="D74" i="3"/>
  <c r="E74" i="3"/>
  <c r="F74" i="3"/>
  <c r="G43" i="3" l="1"/>
  <c r="G55" i="3"/>
  <c r="G49" i="3"/>
  <c r="G32" i="8" l="1"/>
  <c r="D6" i="16" s="1"/>
  <c r="F33" i="16"/>
  <c r="G33" i="16"/>
  <c r="H33" i="16"/>
  <c r="D33" i="16"/>
  <c r="C33" i="16"/>
  <c r="E33" i="16"/>
  <c r="D9" i="17"/>
  <c r="D14" i="17" s="1"/>
  <c r="C15" i="17"/>
  <c r="E9" i="17"/>
  <c r="D15" i="17" s="1"/>
  <c r="D16" i="17"/>
  <c r="E15" i="17" l="1"/>
  <c r="E137" i="3"/>
  <c r="D137" i="3"/>
  <c r="B137" i="3"/>
  <c r="C137" i="3"/>
  <c r="G137" i="3" l="1"/>
  <c r="B143" i="3"/>
  <c r="I38" i="3"/>
  <c r="I41" i="3" s="1"/>
  <c r="G31" i="3" l="1"/>
  <c r="H23" i="8" s="1"/>
  <c r="B30" i="3"/>
  <c r="G27" i="3"/>
  <c r="G19" i="8" s="1"/>
  <c r="C128" i="3"/>
  <c r="D128" i="3"/>
  <c r="E128" i="3"/>
  <c r="F128" i="3"/>
  <c r="B128" i="3"/>
  <c r="C94" i="3"/>
  <c r="C100" i="3"/>
  <c r="D100" i="3"/>
  <c r="E100" i="3"/>
  <c r="F100" i="3"/>
  <c r="B100" i="3"/>
  <c r="C79" i="3"/>
  <c r="D79" i="3"/>
  <c r="E79" i="3"/>
  <c r="F79" i="3"/>
  <c r="B79" i="3"/>
  <c r="G103" i="3"/>
  <c r="G76" i="3"/>
  <c r="B59" i="3"/>
  <c r="D59" i="3"/>
  <c r="C59" i="3"/>
  <c r="F59" i="3"/>
  <c r="E57" i="3"/>
  <c r="E59" i="3" s="1"/>
  <c r="B45" i="11"/>
  <c r="C129" i="3"/>
  <c r="D129" i="3"/>
  <c r="E129" i="3"/>
  <c r="F129" i="3"/>
  <c r="B129" i="3"/>
  <c r="I128" i="3" l="1"/>
  <c r="G43" i="10" s="1"/>
  <c r="I79" i="3"/>
  <c r="G23" i="8"/>
  <c r="K23" i="8"/>
  <c r="J23" i="8"/>
  <c r="I23" i="8"/>
  <c r="J128" i="3"/>
  <c r="H43" i="10" s="1"/>
  <c r="G129" i="3"/>
  <c r="H44" i="10" s="1"/>
  <c r="M128" i="3"/>
  <c r="K43" i="10" s="1"/>
  <c r="L128" i="3"/>
  <c r="J43" i="10" s="1"/>
  <c r="K128" i="3"/>
  <c r="I43" i="10" s="1"/>
  <c r="K100" i="3"/>
  <c r="I18" i="10" s="1"/>
  <c r="J100" i="3"/>
  <c r="H18" i="10" s="1"/>
  <c r="K21" i="10"/>
  <c r="J21" i="10"/>
  <c r="I21" i="10"/>
  <c r="H21" i="10"/>
  <c r="G21" i="10"/>
  <c r="H8" i="10"/>
  <c r="I8" i="10"/>
  <c r="J8" i="10"/>
  <c r="K8" i="10"/>
  <c r="G8" i="10"/>
  <c r="B33" i="11" s="1"/>
  <c r="C33" i="3"/>
  <c r="D33" i="3"/>
  <c r="E33" i="3"/>
  <c r="F33" i="3"/>
  <c r="B33" i="3"/>
  <c r="K36" i="3"/>
  <c r="L36" i="3"/>
  <c r="M36" i="3"/>
  <c r="J37" i="3"/>
  <c r="K37" i="3" s="1"/>
  <c r="K38" i="3"/>
  <c r="L38" i="3"/>
  <c r="M38" i="3"/>
  <c r="B115" i="3"/>
  <c r="J109" i="3"/>
  <c r="C40" i="11" s="1"/>
  <c r="B113" i="3"/>
  <c r="F93" i="3"/>
  <c r="F94" i="3"/>
  <c r="F95" i="3"/>
  <c r="F96" i="3"/>
  <c r="F92" i="3"/>
  <c r="D96" i="3"/>
  <c r="E93" i="3"/>
  <c r="E94" i="3"/>
  <c r="E95" i="3"/>
  <c r="E96" i="3"/>
  <c r="E92" i="3"/>
  <c r="D93" i="3"/>
  <c r="D94" i="3"/>
  <c r="D95" i="3"/>
  <c r="C93" i="3"/>
  <c r="C95" i="3"/>
  <c r="C96" i="3"/>
  <c r="B96" i="3"/>
  <c r="B94" i="3"/>
  <c r="B95" i="3"/>
  <c r="D92" i="3"/>
  <c r="C92" i="3"/>
  <c r="F115" i="3"/>
  <c r="B135" i="3"/>
  <c r="C109" i="3"/>
  <c r="D109" i="3"/>
  <c r="K44" i="10" l="1"/>
  <c r="G44" i="10"/>
  <c r="J44" i="10"/>
  <c r="I44" i="10"/>
  <c r="H32" i="8"/>
  <c r="C20" i="11"/>
  <c r="B20" i="11"/>
  <c r="D20" i="11"/>
  <c r="F33" i="11"/>
  <c r="B138" i="3"/>
  <c r="B139" i="3"/>
  <c r="E20" i="11"/>
  <c r="F20" i="11"/>
  <c r="G96" i="3"/>
  <c r="E33" i="11"/>
  <c r="C108" i="3"/>
  <c r="C110" i="3" s="1"/>
  <c r="D33" i="11"/>
  <c r="C33" i="11"/>
  <c r="J36" i="10"/>
  <c r="K36" i="10"/>
  <c r="G36" i="10"/>
  <c r="H36" i="10"/>
  <c r="I36" i="10"/>
  <c r="J41" i="3"/>
  <c r="L37" i="3"/>
  <c r="K41" i="3"/>
  <c r="G93" i="3"/>
  <c r="G95" i="3"/>
  <c r="G92" i="3"/>
  <c r="G94" i="3"/>
  <c r="B116" i="3"/>
  <c r="I32" i="8" l="1"/>
  <c r="E6" i="16"/>
  <c r="C138" i="3"/>
  <c r="C135" i="3"/>
  <c r="C143" i="3"/>
  <c r="D108" i="3"/>
  <c r="L41" i="3"/>
  <c r="M37" i="3"/>
  <c r="M41" i="3" s="1"/>
  <c r="J32" i="8" l="1"/>
  <c r="F6" i="16"/>
  <c r="D110" i="3"/>
  <c r="D143" i="3"/>
  <c r="K32" i="8" l="1"/>
  <c r="H6" i="16" s="1"/>
  <c r="G6" i="16"/>
  <c r="D138" i="3"/>
  <c r="E108" i="3"/>
  <c r="E143" i="3" s="1"/>
  <c r="D135" i="3"/>
  <c r="F46" i="10"/>
  <c r="D46" i="10"/>
  <c r="C46" i="10"/>
  <c r="B46" i="10"/>
  <c r="E42" i="10"/>
  <c r="E46" i="10" s="1"/>
  <c r="F38" i="10"/>
  <c r="F47" i="10" s="1"/>
  <c r="E38" i="10"/>
  <c r="E47" i="10" s="1"/>
  <c r="D38" i="10"/>
  <c r="D47" i="10" s="1"/>
  <c r="C38" i="10"/>
  <c r="C47" i="10" s="1"/>
  <c r="B38" i="10"/>
  <c r="F31" i="10"/>
  <c r="C28" i="16" s="1"/>
  <c r="E31" i="10"/>
  <c r="D31" i="10"/>
  <c r="D139" i="3" s="1"/>
  <c r="C31" i="10"/>
  <c r="C139" i="3" s="1"/>
  <c r="F24" i="10"/>
  <c r="C10" i="16" s="1"/>
  <c r="E24" i="10"/>
  <c r="D24" i="10"/>
  <c r="C24" i="10"/>
  <c r="B24" i="10"/>
  <c r="F14" i="10"/>
  <c r="E14" i="10"/>
  <c r="D14" i="10"/>
  <c r="D25" i="10" s="1"/>
  <c r="C25" i="10"/>
  <c r="B14" i="10"/>
  <c r="B25" i="10" s="1"/>
  <c r="D111" i="3"/>
  <c r="E25" i="10" l="1"/>
  <c r="C29" i="16"/>
  <c r="C30" i="16" s="1"/>
  <c r="C31" i="16" s="1"/>
  <c r="B47" i="10"/>
  <c r="B48" i="10" s="1"/>
  <c r="F25" i="10"/>
  <c r="E110" i="3"/>
  <c r="E139" i="3" s="1"/>
  <c r="C48" i="10"/>
  <c r="D48" i="10"/>
  <c r="E48" i="10"/>
  <c r="F48" i="10"/>
  <c r="E115" i="3"/>
  <c r="C115" i="3"/>
  <c r="D115" i="3"/>
  <c r="E135" i="3" l="1"/>
  <c r="E138" i="3"/>
  <c r="F108" i="3"/>
  <c r="F143" i="3" s="1"/>
  <c r="D116" i="3"/>
  <c r="F110" i="3" l="1"/>
  <c r="F135" i="3"/>
  <c r="C10" i="19" s="1"/>
  <c r="D127" i="3"/>
  <c r="C26" i="17" l="1"/>
  <c r="F139" i="3"/>
  <c r="I108" i="3"/>
  <c r="F138" i="3"/>
  <c r="G138" i="3" s="1"/>
  <c r="F111" i="3"/>
  <c r="F116" i="3" s="1"/>
  <c r="I110" i="3" l="1"/>
  <c r="I135" i="3" s="1"/>
  <c r="G74" i="3"/>
  <c r="H21" i="8"/>
  <c r="C9" i="11" s="1"/>
  <c r="I21" i="8"/>
  <c r="D9" i="11" s="1"/>
  <c r="J21" i="8"/>
  <c r="E9" i="11" s="1"/>
  <c r="K21" i="8"/>
  <c r="F9" i="11" s="1"/>
  <c r="H20" i="8"/>
  <c r="C10" i="11" s="1"/>
  <c r="I20" i="8"/>
  <c r="D10" i="11" s="1"/>
  <c r="J20" i="8"/>
  <c r="E10" i="11" s="1"/>
  <c r="K20" i="8"/>
  <c r="F10" i="11" s="1"/>
  <c r="G21" i="8"/>
  <c r="B9" i="11" s="1"/>
  <c r="G20" i="8"/>
  <c r="J108" i="3" l="1"/>
  <c r="I111" i="3"/>
  <c r="G29" i="10" s="1"/>
  <c r="I138" i="3"/>
  <c r="B10" i="11"/>
  <c r="C111" i="3"/>
  <c r="C116" i="3" s="1"/>
  <c r="E111" i="3"/>
  <c r="E116" i="3" s="1"/>
  <c r="J110" i="3" l="1"/>
  <c r="J135" i="3"/>
  <c r="J138" i="3" l="1"/>
  <c r="K108" i="3"/>
  <c r="J111" i="3"/>
  <c r="H29" i="10" s="1"/>
  <c r="K110" i="3" l="1"/>
  <c r="K135" i="3"/>
  <c r="G104" i="3"/>
  <c r="K111" i="3" l="1"/>
  <c r="I29" i="10" s="1"/>
  <c r="K138" i="3"/>
  <c r="L108" i="3"/>
  <c r="I22" i="10"/>
  <c r="H22" i="10"/>
  <c r="G22" i="10"/>
  <c r="B16" i="11" s="1"/>
  <c r="J22" i="10"/>
  <c r="K22" i="10"/>
  <c r="I12" i="10"/>
  <c r="H12" i="10"/>
  <c r="G12" i="10"/>
  <c r="K12" i="10"/>
  <c r="J12" i="10"/>
  <c r="L110" i="3" l="1"/>
  <c r="L135" i="3" s="1"/>
  <c r="F16" i="11"/>
  <c r="E16" i="11"/>
  <c r="C16" i="11"/>
  <c r="D16" i="11"/>
  <c r="M108" i="3" l="1"/>
  <c r="L138" i="3"/>
  <c r="L111" i="3"/>
  <c r="J29" i="10" s="1"/>
  <c r="M67" i="7"/>
  <c r="L67" i="7"/>
  <c r="N67" i="7"/>
  <c r="O67" i="7"/>
  <c r="M110" i="3" l="1"/>
  <c r="M135" i="3" s="1"/>
  <c r="H38" i="8"/>
  <c r="D7" i="3"/>
  <c r="C30" i="3"/>
  <c r="D30" i="3"/>
  <c r="E30" i="3"/>
  <c r="F30" i="3"/>
  <c r="M111" i="3" l="1"/>
  <c r="K29" i="10" s="1"/>
  <c r="M138" i="3"/>
  <c r="G30" i="3"/>
  <c r="I38" i="8"/>
  <c r="K38" i="8"/>
  <c r="J38" i="8"/>
  <c r="G38" i="8"/>
  <c r="E85" i="7" l="1"/>
  <c r="F67" i="7"/>
  <c r="E67" i="7"/>
  <c r="D24" i="3"/>
  <c r="E24" i="3"/>
  <c r="F24" i="3"/>
  <c r="C24" i="3"/>
  <c r="F39" i="8"/>
  <c r="E39" i="8"/>
  <c r="D39" i="8"/>
  <c r="C39" i="8"/>
  <c r="B39" i="8"/>
  <c r="F34" i="8"/>
  <c r="E34" i="8"/>
  <c r="D34" i="8"/>
  <c r="C34" i="8"/>
  <c r="B34" i="8"/>
  <c r="F24" i="8"/>
  <c r="E24" i="8"/>
  <c r="D24" i="8"/>
  <c r="C24" i="8"/>
  <c r="B24" i="8"/>
  <c r="F11" i="8"/>
  <c r="F13" i="8" s="1"/>
  <c r="F17" i="8" s="1"/>
  <c r="F25" i="8" s="1"/>
  <c r="E11" i="8"/>
  <c r="E13" i="8" s="1"/>
  <c r="E17" i="8" s="1"/>
  <c r="E25" i="8" s="1"/>
  <c r="D11" i="8"/>
  <c r="D13" i="8" s="1"/>
  <c r="D17" i="8" s="1"/>
  <c r="D25" i="8" s="1"/>
  <c r="C11" i="8"/>
  <c r="C13" i="8" s="1"/>
  <c r="C17" i="8" s="1"/>
  <c r="B11" i="8"/>
  <c r="B13" i="8" s="1"/>
  <c r="B17" i="8" s="1"/>
  <c r="D35" i="7"/>
  <c r="C35" i="7"/>
  <c r="F35" i="7"/>
  <c r="E35" i="7"/>
  <c r="B35" i="7"/>
  <c r="B12" i="7"/>
  <c r="B14" i="7" s="1"/>
  <c r="B18" i="7" s="1"/>
  <c r="C16" i="3"/>
  <c r="C18" i="3"/>
  <c r="D18" i="3"/>
  <c r="E18" i="3"/>
  <c r="F18" i="3"/>
  <c r="B18" i="3"/>
  <c r="D16" i="3"/>
  <c r="E16" i="3"/>
  <c r="F16" i="3"/>
  <c r="B16" i="3"/>
  <c r="C22" i="3"/>
  <c r="D22" i="3"/>
  <c r="E22" i="3"/>
  <c r="F22" i="3"/>
  <c r="I22" i="3" s="1"/>
  <c r="B22" i="3"/>
  <c r="C14" i="3"/>
  <c r="D14" i="3"/>
  <c r="E14" i="3"/>
  <c r="F14" i="3"/>
  <c r="B14" i="3"/>
  <c r="C12" i="3"/>
  <c r="D12" i="3"/>
  <c r="E12" i="3"/>
  <c r="F12" i="3"/>
  <c r="B12" i="3"/>
  <c r="C11" i="3"/>
  <c r="D11" i="3"/>
  <c r="E11" i="3"/>
  <c r="F11" i="3"/>
  <c r="I11" i="3" s="1"/>
  <c r="B11" i="3"/>
  <c r="C7" i="3"/>
  <c r="E7" i="3"/>
  <c r="F7" i="3"/>
  <c r="B7" i="3"/>
  <c r="B40" i="7"/>
  <c r="C40" i="7"/>
  <c r="D40" i="7"/>
  <c r="E40" i="7"/>
  <c r="F40" i="7"/>
  <c r="C12" i="7"/>
  <c r="C14" i="7" s="1"/>
  <c r="C18" i="7" s="1"/>
  <c r="D12" i="7"/>
  <c r="D14" i="7" s="1"/>
  <c r="D18" i="7" s="1"/>
  <c r="E12" i="7"/>
  <c r="E14" i="7" s="1"/>
  <c r="E18" i="7" s="1"/>
  <c r="F12" i="7"/>
  <c r="F14" i="7" s="1"/>
  <c r="F18" i="7" s="1"/>
  <c r="B25" i="7"/>
  <c r="C25" i="7"/>
  <c r="D25" i="7"/>
  <c r="F25" i="7"/>
  <c r="E25" i="7"/>
  <c r="F89" i="7"/>
  <c r="F126" i="3" s="1"/>
  <c r="B89" i="7"/>
  <c r="B126" i="3" s="1"/>
  <c r="C89" i="7"/>
  <c r="C126" i="3" s="1"/>
  <c r="D89" i="7"/>
  <c r="D126" i="3" s="1"/>
  <c r="E89" i="7"/>
  <c r="E126" i="3" s="1"/>
  <c r="F81" i="7"/>
  <c r="F90" i="7" s="1"/>
  <c r="B81" i="7"/>
  <c r="C81" i="7"/>
  <c r="D81" i="7"/>
  <c r="E81" i="7"/>
  <c r="F74" i="7"/>
  <c r="B74" i="7"/>
  <c r="C74" i="7"/>
  <c r="D74" i="7"/>
  <c r="E74" i="7"/>
  <c r="D67" i="7"/>
  <c r="C67" i="7"/>
  <c r="B67" i="7"/>
  <c r="F57" i="7"/>
  <c r="F80" i="3" s="1"/>
  <c r="B57" i="7"/>
  <c r="B80" i="3" s="1"/>
  <c r="C57" i="7"/>
  <c r="C80" i="3" s="1"/>
  <c r="D57" i="7"/>
  <c r="D80" i="3" s="1"/>
  <c r="E57" i="7"/>
  <c r="E80" i="3" s="1"/>
  <c r="G80" i="3" l="1"/>
  <c r="F71" i="3"/>
  <c r="C14" i="17"/>
  <c r="E14" i="17" s="1"/>
  <c r="F102" i="3"/>
  <c r="G126" i="3"/>
  <c r="E71" i="3"/>
  <c r="E102" i="3"/>
  <c r="D71" i="3"/>
  <c r="D102" i="3"/>
  <c r="C71" i="3"/>
  <c r="C101" i="3"/>
  <c r="C102" i="3"/>
  <c r="B102" i="3"/>
  <c r="B83" i="3"/>
  <c r="B71" i="3"/>
  <c r="B35" i="3"/>
  <c r="C20" i="3"/>
  <c r="C19" i="3" s="1"/>
  <c r="G24" i="3"/>
  <c r="B20" i="3"/>
  <c r="B19" i="3" s="1"/>
  <c r="B10" i="3"/>
  <c r="B8" i="3"/>
  <c r="E20" i="3"/>
  <c r="E19" i="3" s="1"/>
  <c r="C13" i="3"/>
  <c r="F45" i="3"/>
  <c r="F35" i="3"/>
  <c r="F101" i="3"/>
  <c r="F83" i="3"/>
  <c r="E45" i="3"/>
  <c r="E35" i="3"/>
  <c r="E101" i="3"/>
  <c r="E83" i="3"/>
  <c r="D45" i="3"/>
  <c r="D35" i="3"/>
  <c r="D101" i="3"/>
  <c r="D83" i="3"/>
  <c r="C45" i="3"/>
  <c r="C35" i="3"/>
  <c r="C83" i="3"/>
  <c r="E127" i="3"/>
  <c r="F127" i="3"/>
  <c r="H19" i="8"/>
  <c r="I10" i="3"/>
  <c r="J10" i="3" s="1"/>
  <c r="K10" i="3" s="1"/>
  <c r="L10" i="3" s="1"/>
  <c r="M10" i="3" s="1"/>
  <c r="B25" i="8"/>
  <c r="B35" i="8" s="1"/>
  <c r="B40" i="8" s="1"/>
  <c r="B140" i="3" s="1"/>
  <c r="B141" i="3" s="1"/>
  <c r="E35" i="8"/>
  <c r="E40" i="8" s="1"/>
  <c r="E140" i="3" s="1"/>
  <c r="E141" i="3" s="1"/>
  <c r="E10" i="3"/>
  <c r="E8" i="3"/>
  <c r="F13" i="3"/>
  <c r="F35" i="8"/>
  <c r="F40" i="8" s="1"/>
  <c r="C25" i="8"/>
  <c r="C35" i="8" s="1"/>
  <c r="C40" i="8" s="1"/>
  <c r="C140" i="3" s="1"/>
  <c r="C141" i="3" s="1"/>
  <c r="D35" i="8"/>
  <c r="D40" i="8" s="1"/>
  <c r="D140" i="3" s="1"/>
  <c r="D141" i="3" s="1"/>
  <c r="F15" i="3"/>
  <c r="D20" i="3"/>
  <c r="D19" i="3" s="1"/>
  <c r="D15" i="3"/>
  <c r="F17" i="3"/>
  <c r="K19" i="8"/>
  <c r="C15" i="3"/>
  <c r="D8" i="3"/>
  <c r="E13" i="3"/>
  <c r="E17" i="3"/>
  <c r="I19" i="8"/>
  <c r="J19" i="8"/>
  <c r="D13" i="3"/>
  <c r="F20" i="3"/>
  <c r="F19" i="3" s="1"/>
  <c r="E15" i="3"/>
  <c r="C8" i="3"/>
  <c r="D17" i="3"/>
  <c r="E90" i="7"/>
  <c r="E91" i="7" s="1"/>
  <c r="D90" i="7"/>
  <c r="D91" i="7" s="1"/>
  <c r="E68" i="7"/>
  <c r="B90" i="7"/>
  <c r="B91" i="7" s="1"/>
  <c r="C90" i="7"/>
  <c r="C91" i="7" s="1"/>
  <c r="J22" i="3"/>
  <c r="G15" i="8"/>
  <c r="J11" i="3"/>
  <c r="G7" i="8"/>
  <c r="F26" i="7"/>
  <c r="E26" i="7"/>
  <c r="C26" i="7"/>
  <c r="B26" i="7"/>
  <c r="B144" i="3" s="1"/>
  <c r="D26" i="7"/>
  <c r="F91" i="7"/>
  <c r="G59" i="3"/>
  <c r="C10" i="3"/>
  <c r="F8" i="3"/>
  <c r="D10" i="3"/>
  <c r="C36" i="7" l="1"/>
  <c r="C146" i="3" s="1"/>
  <c r="C145" i="3" s="1"/>
  <c r="C144" i="3"/>
  <c r="F36" i="7"/>
  <c r="F144" i="3"/>
  <c r="G102" i="3"/>
  <c r="E36" i="7"/>
  <c r="E146" i="3" s="1"/>
  <c r="E145" i="3" s="1"/>
  <c r="E144" i="3"/>
  <c r="D36" i="7"/>
  <c r="D144" i="3"/>
  <c r="G127" i="3"/>
  <c r="C9" i="3"/>
  <c r="C5" i="16"/>
  <c r="G51" i="3"/>
  <c r="F140" i="3"/>
  <c r="F141" i="3" s="1"/>
  <c r="G141" i="3" s="1"/>
  <c r="G45" i="3"/>
  <c r="G83" i="3"/>
  <c r="G18" i="3"/>
  <c r="G101" i="3"/>
  <c r="G47" i="3"/>
  <c r="G12" i="3"/>
  <c r="I12" i="3" s="1"/>
  <c r="J12" i="3" s="1"/>
  <c r="G16" i="8"/>
  <c r="H16" i="8" s="1"/>
  <c r="I16" i="8" s="1"/>
  <c r="J16" i="8" s="1"/>
  <c r="C41" i="7"/>
  <c r="C112" i="3" s="1"/>
  <c r="C54" i="3"/>
  <c r="E7" i="11"/>
  <c r="E31" i="11"/>
  <c r="D7" i="11"/>
  <c r="D31" i="11"/>
  <c r="F7" i="11"/>
  <c r="F31" i="11"/>
  <c r="B7" i="11"/>
  <c r="B31" i="11"/>
  <c r="C7" i="11"/>
  <c r="C31" i="11"/>
  <c r="E9" i="3"/>
  <c r="D9" i="3"/>
  <c r="G16" i="3"/>
  <c r="I16" i="3" s="1"/>
  <c r="J16" i="3" s="1"/>
  <c r="G14" i="3"/>
  <c r="I14" i="3" s="1"/>
  <c r="K11" i="3"/>
  <c r="H7" i="8"/>
  <c r="K22" i="3"/>
  <c r="H15" i="8"/>
  <c r="D41" i="7"/>
  <c r="D112" i="3" s="1"/>
  <c r="B36" i="7"/>
  <c r="B146" i="3" s="1"/>
  <c r="B145" i="3" s="1"/>
  <c r="F41" i="7"/>
  <c r="F112" i="3" s="1"/>
  <c r="F9" i="3"/>
  <c r="F54" i="3" l="1"/>
  <c r="C16" i="17"/>
  <c r="E16" i="17" s="1"/>
  <c r="F14" i="17" s="1"/>
  <c r="C25" i="17" s="1"/>
  <c r="C27" i="17" s="1"/>
  <c r="C10" i="20" s="1"/>
  <c r="F146" i="3"/>
  <c r="F145" i="3" s="1"/>
  <c r="E54" i="3"/>
  <c r="E41" i="7"/>
  <c r="E112" i="3" s="1"/>
  <c r="D54" i="3"/>
  <c r="D146" i="3"/>
  <c r="D145" i="3" s="1"/>
  <c r="G54" i="3"/>
  <c r="G9" i="3"/>
  <c r="I8" i="3" s="1"/>
  <c r="B41" i="7"/>
  <c r="B112" i="3" s="1"/>
  <c r="G10" i="8"/>
  <c r="G8" i="8"/>
  <c r="J14" i="3"/>
  <c r="G9" i="8"/>
  <c r="L22" i="3"/>
  <c r="I15" i="8"/>
  <c r="L11" i="3"/>
  <c r="I7" i="8"/>
  <c r="K16" i="8"/>
  <c r="K12" i="3"/>
  <c r="H8" i="8"/>
  <c r="K16" i="3"/>
  <c r="H10" i="8"/>
  <c r="E10" i="20" l="1"/>
  <c r="F10" i="20"/>
  <c r="C8" i="16"/>
  <c r="G34" i="16"/>
  <c r="D34" i="16"/>
  <c r="H34" i="16"/>
  <c r="F34" i="16"/>
  <c r="E34" i="16"/>
  <c r="C34" i="16"/>
  <c r="C35" i="16" s="1"/>
  <c r="L16" i="3"/>
  <c r="I10" i="8"/>
  <c r="L12" i="3"/>
  <c r="I8" i="8"/>
  <c r="M11" i="3"/>
  <c r="K7" i="8" s="1"/>
  <c r="J7" i="8"/>
  <c r="M22" i="3"/>
  <c r="K15" i="8" s="1"/>
  <c r="J15" i="8"/>
  <c r="K14" i="3"/>
  <c r="H9" i="8"/>
  <c r="I7" i="3"/>
  <c r="J8" i="3"/>
  <c r="K8" i="3" s="1"/>
  <c r="J7" i="3" l="1"/>
  <c r="G6" i="8"/>
  <c r="G11" i="8" s="1"/>
  <c r="L14" i="3"/>
  <c r="I9" i="8"/>
  <c r="M12" i="3"/>
  <c r="K8" i="8" s="1"/>
  <c r="J8" i="8"/>
  <c r="M16" i="3"/>
  <c r="K10" i="8" s="1"/>
  <c r="J10" i="8"/>
  <c r="L8" i="3"/>
  <c r="K7" i="3"/>
  <c r="H6" i="8" l="1"/>
  <c r="H11" i="8" s="1"/>
  <c r="I6" i="8"/>
  <c r="I11" i="8" s="1"/>
  <c r="M14" i="3"/>
  <c r="K9" i="8" s="1"/>
  <c r="J9" i="8"/>
  <c r="M8" i="3"/>
  <c r="M7" i="3" s="1"/>
  <c r="L7" i="3"/>
  <c r="J6" i="8" l="1"/>
  <c r="J11" i="8" s="1"/>
  <c r="K6" i="8"/>
  <c r="K11" i="8" s="1"/>
  <c r="B5" i="11" l="1"/>
  <c r="I100" i="3" l="1"/>
  <c r="G18" i="10" s="1"/>
  <c r="G10" i="10"/>
  <c r="B30" i="11" s="1"/>
  <c r="J79" i="3"/>
  <c r="H10" i="10" s="1"/>
  <c r="K79" i="3"/>
  <c r="I10" i="10" s="1"/>
  <c r="L79" i="3"/>
  <c r="J10" i="10" s="1"/>
  <c r="M79" i="3"/>
  <c r="K10" i="10" s="1"/>
  <c r="F30" i="11" l="1"/>
  <c r="C30" i="11"/>
  <c r="L100" i="3"/>
  <c r="J18" i="10" s="1"/>
  <c r="M100" i="3"/>
  <c r="K18" i="10" s="1"/>
  <c r="E30" i="11"/>
  <c r="D30" i="11"/>
  <c r="F5" i="11"/>
  <c r="E5" i="11"/>
  <c r="D5" i="11"/>
  <c r="C5" i="11"/>
  <c r="G71" i="3" l="1"/>
  <c r="G6" i="10" l="1"/>
  <c r="H6" i="10"/>
  <c r="I6" i="10"/>
  <c r="J6" i="10"/>
  <c r="K6" i="10"/>
  <c r="G7" i="10"/>
  <c r="H7" i="10"/>
  <c r="I7" i="10"/>
  <c r="J7" i="10"/>
  <c r="K7" i="10"/>
  <c r="G11" i="10"/>
  <c r="H11" i="10"/>
  <c r="I11" i="10"/>
  <c r="J11" i="10"/>
  <c r="K11" i="10"/>
  <c r="G13" i="10"/>
  <c r="H13" i="10"/>
  <c r="I13" i="10"/>
  <c r="J13" i="10"/>
  <c r="K13" i="10"/>
  <c r="G14" i="10"/>
  <c r="H14" i="10"/>
  <c r="I14" i="10"/>
  <c r="J14" i="10"/>
  <c r="K14" i="10"/>
  <c r="G16" i="10"/>
  <c r="H16" i="10"/>
  <c r="I16" i="10"/>
  <c r="J16" i="10"/>
  <c r="K16" i="10"/>
  <c r="G19" i="10"/>
  <c r="H19" i="10"/>
  <c r="I19" i="10"/>
  <c r="J19" i="10"/>
  <c r="K19" i="10"/>
  <c r="G20" i="10"/>
  <c r="H20" i="10"/>
  <c r="I20" i="10"/>
  <c r="J20" i="10"/>
  <c r="K20" i="10"/>
  <c r="G23" i="10"/>
  <c r="H23" i="10"/>
  <c r="I23" i="10"/>
  <c r="J23" i="10"/>
  <c r="K23" i="10"/>
  <c r="G24" i="10"/>
  <c r="H24" i="10"/>
  <c r="I24" i="10"/>
  <c r="J24" i="10"/>
  <c r="K24" i="10"/>
  <c r="G25" i="10"/>
  <c r="H25" i="10"/>
  <c r="I25" i="10"/>
  <c r="J25" i="10"/>
  <c r="K25" i="10"/>
  <c r="G30" i="10"/>
  <c r="H30" i="10"/>
  <c r="I30" i="10"/>
  <c r="J30" i="10"/>
  <c r="K30" i="10"/>
  <c r="G31" i="10"/>
  <c r="H31" i="10"/>
  <c r="I31" i="10"/>
  <c r="J31" i="10"/>
  <c r="K31" i="10"/>
  <c r="G35" i="10"/>
  <c r="H35" i="10"/>
  <c r="I35" i="10"/>
  <c r="J35" i="10"/>
  <c r="K35" i="10"/>
  <c r="G37" i="10"/>
  <c r="H37" i="10"/>
  <c r="I37" i="10"/>
  <c r="J37" i="10"/>
  <c r="K37" i="10"/>
  <c r="G38" i="10"/>
  <c r="H38" i="10"/>
  <c r="I38" i="10"/>
  <c r="J38" i="10"/>
  <c r="K38" i="10"/>
  <c r="G41" i="10"/>
  <c r="H41" i="10"/>
  <c r="I41" i="10"/>
  <c r="J41" i="10"/>
  <c r="K41" i="10"/>
  <c r="G42" i="10"/>
  <c r="H42" i="10"/>
  <c r="I42" i="10"/>
  <c r="J42" i="10"/>
  <c r="K42" i="10"/>
  <c r="G46" i="10"/>
  <c r="H46" i="10"/>
  <c r="I46" i="10"/>
  <c r="J46" i="10"/>
  <c r="K46" i="10"/>
  <c r="G47" i="10"/>
  <c r="H47" i="10"/>
  <c r="I47" i="10"/>
  <c r="J47" i="10"/>
  <c r="K47" i="10"/>
  <c r="G48" i="10"/>
  <c r="H48" i="10"/>
  <c r="I48" i="10"/>
  <c r="J48" i="10"/>
  <c r="K48" i="10"/>
  <c r="C9" i="20"/>
  <c r="E9" i="20"/>
  <c r="F9" i="20"/>
  <c r="B3" i="11"/>
  <c r="C3" i="11"/>
  <c r="D3" i="11"/>
  <c r="E3" i="11"/>
  <c r="F3" i="11"/>
  <c r="B6" i="11"/>
  <c r="C6" i="11"/>
  <c r="D6" i="11"/>
  <c r="E6" i="11"/>
  <c r="F6" i="11"/>
  <c r="B8" i="11"/>
  <c r="C8" i="11"/>
  <c r="D8" i="11"/>
  <c r="E8" i="11"/>
  <c r="F8" i="11"/>
  <c r="B11" i="11"/>
  <c r="C11" i="11"/>
  <c r="D11" i="11"/>
  <c r="E11" i="11"/>
  <c r="F11" i="11"/>
  <c r="B14" i="11"/>
  <c r="C14" i="11"/>
  <c r="D14" i="11"/>
  <c r="E14" i="11"/>
  <c r="F14" i="11"/>
  <c r="B15" i="11"/>
  <c r="C15" i="11"/>
  <c r="D15" i="11"/>
  <c r="E15" i="11"/>
  <c r="F15" i="11"/>
  <c r="B17" i="11"/>
  <c r="C17" i="11"/>
  <c r="D17" i="11"/>
  <c r="E17" i="11"/>
  <c r="F17" i="11"/>
  <c r="B19" i="11"/>
  <c r="C19" i="11"/>
  <c r="D19" i="11"/>
  <c r="E19" i="11"/>
  <c r="F19" i="11"/>
  <c r="B21" i="11"/>
  <c r="C21" i="11"/>
  <c r="D21" i="11"/>
  <c r="E21" i="11"/>
  <c r="F21" i="11"/>
  <c r="B23" i="11"/>
  <c r="C23" i="11"/>
  <c r="D23" i="11"/>
  <c r="E23" i="11"/>
  <c r="F23" i="11"/>
  <c r="B24" i="11"/>
  <c r="C24" i="11"/>
  <c r="D24" i="11"/>
  <c r="E24" i="11"/>
  <c r="F24" i="11"/>
  <c r="B25" i="11"/>
  <c r="C25" i="11"/>
  <c r="D25" i="11"/>
  <c r="E25" i="11"/>
  <c r="F25" i="11"/>
  <c r="B29" i="11"/>
  <c r="C29" i="11"/>
  <c r="D29" i="11"/>
  <c r="E29" i="11"/>
  <c r="F29" i="11"/>
  <c r="B32" i="11"/>
  <c r="C32" i="11"/>
  <c r="D32" i="11"/>
  <c r="E32" i="11"/>
  <c r="F32" i="11"/>
  <c r="B34" i="11"/>
  <c r="C34" i="11"/>
  <c r="D34" i="11"/>
  <c r="E34" i="11"/>
  <c r="F34" i="11"/>
  <c r="B37" i="11"/>
  <c r="C37" i="11"/>
  <c r="D37" i="11"/>
  <c r="E37" i="11"/>
  <c r="F37" i="11"/>
  <c r="B38" i="11"/>
  <c r="C38" i="11"/>
  <c r="D38" i="11"/>
  <c r="E38" i="11"/>
  <c r="F38" i="11"/>
  <c r="B39" i="11"/>
  <c r="C39" i="11"/>
  <c r="D39" i="11"/>
  <c r="E39" i="11"/>
  <c r="F39" i="11"/>
  <c r="B41" i="11"/>
  <c r="C41" i="11"/>
  <c r="D41" i="11"/>
  <c r="E41" i="11"/>
  <c r="F41" i="11"/>
  <c r="B42" i="11"/>
  <c r="C42" i="11"/>
  <c r="D42" i="11"/>
  <c r="E42" i="11"/>
  <c r="F42" i="11"/>
  <c r="B44" i="11"/>
  <c r="C44" i="11"/>
  <c r="D44" i="11"/>
  <c r="E44" i="11"/>
  <c r="F44" i="11"/>
  <c r="C45" i="11"/>
  <c r="D45" i="11"/>
  <c r="E45" i="11"/>
  <c r="F45" i="11"/>
  <c r="B46" i="11"/>
  <c r="C46" i="11"/>
  <c r="D46" i="11"/>
  <c r="E46" i="11"/>
  <c r="F46" i="11"/>
  <c r="I18" i="3"/>
  <c r="J18" i="3"/>
  <c r="K18" i="3"/>
  <c r="L18" i="3"/>
  <c r="M18" i="3"/>
  <c r="I20" i="3"/>
  <c r="J20" i="3"/>
  <c r="K20" i="3"/>
  <c r="L20" i="3"/>
  <c r="M20" i="3"/>
  <c r="I33" i="3"/>
  <c r="J33" i="3"/>
  <c r="K33" i="3"/>
  <c r="L33" i="3"/>
  <c r="M33" i="3"/>
  <c r="J65" i="3"/>
  <c r="K65" i="3"/>
  <c r="L65" i="3"/>
  <c r="M65" i="3"/>
  <c r="I68" i="3"/>
  <c r="J68" i="3"/>
  <c r="K68" i="3"/>
  <c r="L68" i="3"/>
  <c r="M68" i="3"/>
  <c r="I69" i="3"/>
  <c r="J69" i="3"/>
  <c r="K69" i="3"/>
  <c r="L69" i="3"/>
  <c r="M69" i="3"/>
  <c r="I70" i="3"/>
  <c r="J70" i="3"/>
  <c r="K70" i="3"/>
  <c r="L70" i="3"/>
  <c r="M70" i="3"/>
  <c r="I86" i="3"/>
  <c r="J86" i="3"/>
  <c r="K86" i="3"/>
  <c r="L86" i="3"/>
  <c r="M86" i="3"/>
  <c r="I87" i="3"/>
  <c r="J87" i="3"/>
  <c r="K87" i="3"/>
  <c r="L87" i="3"/>
  <c r="M87" i="3"/>
  <c r="I88" i="3"/>
  <c r="J88" i="3"/>
  <c r="K88" i="3"/>
  <c r="L88" i="3"/>
  <c r="M88" i="3"/>
  <c r="I89" i="3"/>
  <c r="J89" i="3"/>
  <c r="K89" i="3"/>
  <c r="L89" i="3"/>
  <c r="M89" i="3"/>
  <c r="I90" i="3"/>
  <c r="J90" i="3"/>
  <c r="K90" i="3"/>
  <c r="L90" i="3"/>
  <c r="M90" i="3"/>
  <c r="I112" i="3"/>
  <c r="J112" i="3"/>
  <c r="K112" i="3"/>
  <c r="L112" i="3"/>
  <c r="M112" i="3"/>
  <c r="I113" i="3"/>
  <c r="J113" i="3"/>
  <c r="K113" i="3"/>
  <c r="L113" i="3"/>
  <c r="M113" i="3"/>
  <c r="I115" i="3"/>
  <c r="J115" i="3"/>
  <c r="K115" i="3"/>
  <c r="L115" i="3"/>
  <c r="M115" i="3"/>
  <c r="I116" i="3"/>
  <c r="J116" i="3"/>
  <c r="K116" i="3"/>
  <c r="L116" i="3"/>
  <c r="M116" i="3"/>
  <c r="I143" i="3"/>
  <c r="J143" i="3"/>
  <c r="K143" i="3"/>
  <c r="L143" i="3"/>
  <c r="M143" i="3"/>
  <c r="I144" i="3"/>
  <c r="J144" i="3"/>
  <c r="K144" i="3"/>
  <c r="L144" i="3"/>
  <c r="M144" i="3"/>
  <c r="I145" i="3"/>
  <c r="J145" i="3"/>
  <c r="K145" i="3"/>
  <c r="L145" i="3"/>
  <c r="M145" i="3"/>
  <c r="I146" i="3"/>
  <c r="J146" i="3"/>
  <c r="K146" i="3"/>
  <c r="L146" i="3"/>
  <c r="M146" i="3"/>
  <c r="G12" i="8"/>
  <c r="H12" i="8"/>
  <c r="I12" i="8"/>
  <c r="J12" i="8"/>
  <c r="K12" i="8"/>
  <c r="G13" i="8"/>
  <c r="H13" i="8"/>
  <c r="I13" i="8"/>
  <c r="J13" i="8"/>
  <c r="K13" i="8"/>
  <c r="G17" i="8"/>
  <c r="H17" i="8"/>
  <c r="I17" i="8"/>
  <c r="J17" i="8"/>
  <c r="K17" i="8"/>
  <c r="G22" i="8"/>
  <c r="H22" i="8"/>
  <c r="I22" i="8"/>
  <c r="J22" i="8"/>
  <c r="K22" i="8"/>
  <c r="G24" i="8"/>
  <c r="H24" i="8"/>
  <c r="I24" i="8"/>
  <c r="J24" i="8"/>
  <c r="K24" i="8"/>
  <c r="G25" i="8"/>
  <c r="H25" i="8"/>
  <c r="I25" i="8"/>
  <c r="J25" i="8"/>
  <c r="K25" i="8"/>
  <c r="G27" i="8"/>
  <c r="H27" i="8"/>
  <c r="I27" i="8"/>
  <c r="J27" i="8"/>
  <c r="K27" i="8"/>
  <c r="G29" i="8"/>
  <c r="H29" i="8"/>
  <c r="I29" i="8"/>
  <c r="J29" i="8"/>
  <c r="K29" i="8"/>
  <c r="G30" i="8"/>
  <c r="H30" i="8"/>
  <c r="I30" i="8"/>
  <c r="J30" i="8"/>
  <c r="K30" i="8"/>
  <c r="G31" i="8"/>
  <c r="H31" i="8"/>
  <c r="I31" i="8"/>
  <c r="J31" i="8"/>
  <c r="K31" i="8"/>
  <c r="G33" i="8"/>
  <c r="H33" i="8"/>
  <c r="I33" i="8"/>
  <c r="J33" i="8"/>
  <c r="K33" i="8"/>
  <c r="G34" i="8"/>
  <c r="H34" i="8"/>
  <c r="I34" i="8"/>
  <c r="J34" i="8"/>
  <c r="K34" i="8"/>
  <c r="G35" i="8"/>
  <c r="H35" i="8"/>
  <c r="I35" i="8"/>
  <c r="J35" i="8"/>
  <c r="K35" i="8"/>
  <c r="G37" i="8"/>
  <c r="H37" i="8"/>
  <c r="I37" i="8"/>
  <c r="J37" i="8"/>
  <c r="K37" i="8"/>
  <c r="G39" i="8"/>
  <c r="H39" i="8"/>
  <c r="I39" i="8"/>
  <c r="J39" i="8"/>
  <c r="K39" i="8"/>
  <c r="G40" i="8"/>
  <c r="H40" i="8"/>
  <c r="I40" i="8"/>
  <c r="J40" i="8"/>
  <c r="K40" i="8"/>
  <c r="C3" i="15"/>
  <c r="D3" i="15"/>
  <c r="E3" i="15"/>
  <c r="F3" i="15"/>
  <c r="G3" i="15"/>
  <c r="C4" i="15"/>
  <c r="D4" i="15"/>
  <c r="E4" i="15"/>
  <c r="F4" i="15"/>
  <c r="G4" i="15"/>
  <c r="C5" i="15"/>
  <c r="D5" i="15"/>
  <c r="E5" i="15"/>
  <c r="F5" i="15"/>
  <c r="G5" i="15"/>
  <c r="C6" i="15"/>
  <c r="D6" i="15"/>
  <c r="E6" i="15"/>
  <c r="F6" i="15"/>
  <c r="G6" i="15"/>
  <c r="C7" i="15"/>
  <c r="D7" i="15"/>
  <c r="E7" i="15"/>
  <c r="F7" i="15"/>
  <c r="G7" i="15"/>
  <c r="C8" i="15"/>
  <c r="D8" i="15"/>
  <c r="E8" i="15"/>
  <c r="F8" i="15"/>
  <c r="G8" i="15"/>
  <c r="C9" i="15"/>
  <c r="D9" i="15"/>
  <c r="E9" i="15"/>
  <c r="F9" i="15"/>
  <c r="G9" i="15"/>
  <c r="C10" i="15"/>
  <c r="D10" i="15"/>
  <c r="E10" i="15"/>
  <c r="F10" i="15"/>
  <c r="G10" i="15"/>
  <c r="C11" i="15"/>
  <c r="D11" i="15"/>
  <c r="E11" i="15"/>
  <c r="F11" i="15"/>
  <c r="G11" i="15"/>
  <c r="C12" i="15"/>
  <c r="D12" i="15"/>
  <c r="E12" i="15"/>
  <c r="F12" i="15"/>
  <c r="G12" i="15"/>
  <c r="C13" i="15"/>
  <c r="D13" i="15"/>
  <c r="E13" i="15"/>
  <c r="F13" i="15"/>
  <c r="G13" i="15"/>
  <c r="C14" i="15"/>
  <c r="D14" i="15"/>
  <c r="E14" i="15"/>
  <c r="F14" i="15"/>
  <c r="G14" i="15"/>
  <c r="C15" i="15"/>
  <c r="D15" i="15"/>
  <c r="E15" i="15"/>
  <c r="F15" i="15"/>
  <c r="G15" i="15"/>
  <c r="C16" i="15"/>
  <c r="D16" i="15"/>
  <c r="E16" i="15"/>
  <c r="F16" i="15"/>
  <c r="G16" i="15"/>
  <c r="C17" i="15"/>
  <c r="D17" i="15"/>
  <c r="E17" i="15"/>
  <c r="F17" i="15"/>
  <c r="G17" i="15"/>
  <c r="C18" i="15"/>
  <c r="D18" i="15"/>
  <c r="E18" i="15"/>
  <c r="F18" i="15"/>
  <c r="G18" i="15"/>
  <c r="C19" i="15"/>
  <c r="D19" i="15"/>
  <c r="E19" i="15"/>
  <c r="F19" i="15"/>
  <c r="G19" i="15"/>
  <c r="C20" i="15"/>
  <c r="D20" i="15"/>
  <c r="E20" i="15"/>
  <c r="F20" i="15"/>
  <c r="G20" i="15"/>
  <c r="C21" i="15"/>
  <c r="D21" i="15"/>
  <c r="E21" i="15"/>
  <c r="F21" i="15"/>
  <c r="G21" i="15"/>
  <c r="C22" i="15"/>
  <c r="D22" i="15"/>
  <c r="E22" i="15"/>
  <c r="F22" i="15"/>
  <c r="G22" i="15"/>
  <c r="D5" i="19"/>
  <c r="E5" i="19"/>
  <c r="F5" i="19"/>
  <c r="G5" i="19"/>
  <c r="H5" i="19"/>
  <c r="I5" i="19"/>
  <c r="J5" i="19"/>
  <c r="K5" i="19"/>
  <c r="L5" i="19"/>
  <c r="M5" i="19"/>
  <c r="H6" i="19"/>
  <c r="I6" i="19"/>
  <c r="J6" i="19"/>
  <c r="K6" i="19"/>
  <c r="L6" i="19"/>
  <c r="L7" i="19"/>
  <c r="D8" i="19"/>
  <c r="E8" i="19"/>
  <c r="F8" i="19"/>
  <c r="G8" i="19"/>
  <c r="H8" i="19"/>
  <c r="I8" i="19"/>
  <c r="J8" i="19"/>
  <c r="K8" i="19"/>
  <c r="L8" i="19"/>
  <c r="C9" i="19"/>
  <c r="C11" i="19"/>
  <c r="C15" i="19"/>
  <c r="C17" i="19"/>
  <c r="D5" i="16"/>
  <c r="E5" i="16"/>
  <c r="F5" i="16"/>
  <c r="G5" i="16"/>
  <c r="H5" i="16"/>
  <c r="D7" i="16"/>
  <c r="E7" i="16"/>
  <c r="F7" i="16"/>
  <c r="G7" i="16"/>
  <c r="H7" i="16"/>
  <c r="D8" i="16"/>
  <c r="E8" i="16"/>
  <c r="F8" i="16"/>
  <c r="G8" i="16"/>
  <c r="H8" i="16"/>
  <c r="D9" i="16"/>
  <c r="E9" i="16"/>
  <c r="F9" i="16"/>
  <c r="G9" i="16"/>
  <c r="H9" i="16"/>
  <c r="D10" i="16"/>
  <c r="E10" i="16"/>
  <c r="F10" i="16"/>
  <c r="G10" i="16"/>
  <c r="H10" i="16"/>
  <c r="D11" i="16"/>
  <c r="E11" i="16"/>
  <c r="F11" i="16"/>
  <c r="G11" i="16"/>
  <c r="H11" i="16"/>
  <c r="D12" i="16"/>
  <c r="E12" i="16"/>
  <c r="F12" i="16"/>
  <c r="G12" i="16"/>
  <c r="H12" i="16"/>
  <c r="I12" i="16"/>
  <c r="J12" i="16"/>
  <c r="K12" i="16"/>
  <c r="L12" i="16"/>
  <c r="M12" i="16"/>
  <c r="C13" i="16"/>
  <c r="H14" i="16"/>
  <c r="I14" i="16"/>
  <c r="J14" i="16"/>
  <c r="K14" i="16"/>
  <c r="L14" i="16"/>
  <c r="L15" i="16"/>
  <c r="D16" i="16"/>
  <c r="E16" i="16"/>
  <c r="F16" i="16"/>
  <c r="G16" i="16"/>
  <c r="H16" i="16"/>
  <c r="I16" i="16"/>
  <c r="J16" i="16"/>
  <c r="K16" i="16"/>
  <c r="L16" i="16"/>
  <c r="C17" i="16"/>
  <c r="C20" i="16"/>
  <c r="C22" i="16"/>
  <c r="D27" i="16"/>
  <c r="E27" i="16"/>
  <c r="F27" i="16"/>
  <c r="G27" i="16"/>
  <c r="H27" i="16"/>
  <c r="D28" i="16"/>
  <c r="E28" i="16"/>
  <c r="F28" i="16"/>
  <c r="G28" i="16"/>
  <c r="H28" i="16"/>
  <c r="D29" i="16"/>
  <c r="E29" i="16"/>
  <c r="F29" i="16"/>
  <c r="G29" i="16"/>
  <c r="H29" i="16"/>
  <c r="D30" i="16"/>
  <c r="E30" i="16"/>
  <c r="F30" i="16"/>
  <c r="G30" i="16"/>
  <c r="H30" i="16"/>
  <c r="D31" i="16"/>
  <c r="E31" i="16"/>
  <c r="F31" i="16"/>
  <c r="G31" i="16"/>
  <c r="H31" i="16"/>
  <c r="D35" i="16"/>
  <c r="E35" i="16"/>
  <c r="F35" i="16"/>
  <c r="G35" i="16"/>
  <c r="H35" i="16"/>
  <c r="C42" i="16"/>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tc={3A380422-DF03-49E6-A46D-6405D3DFC1D4}</author>
    <author>tc={936CCCB5-BD6E-4ED5-87CD-BA5267E8B824}</author>
  </authors>
  <commentList>
    <comment ref="A115" authorId="0" shapeId="0" xr:uid="{3A380422-DF03-49E6-A46D-6405D3DFC1D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Reserves and Surplus of 2018-2022 is hard Coded. And Reserves and Surplus of  2023-2017 is estimated from Previous Reserve -Buy Back Premium-(Net Income-Divdend)</t>
        </r>
      </text>
    </comment>
    <comment ref="I115" authorId="1" shapeId="0" xr:uid="{936CCCB5-BD6E-4ED5-87CD-BA5267E8B824}">
      <text>
        <r>
          <rPr>
            <sz val="11"/>
            <color theme="1"/>
            <rFont val="Calibri"/>
            <family val="2"/>
            <scheme val="minor"/>
          </rPr>
          <t>[Threaded comment]
Your version of Excel allows you to read this threaded comment; however, any edits to it will get removed if the file is opened in a newer version of Excel. Learn more: https://go.microsoft.com/fwlink/?linkid=870924
Comment:
    Calculated</t>
        </r>
      </text>
    </comment>
  </commentList>
</comments>
</file>

<file path=xl/sharedStrings.xml><?xml version="1.0" encoding="utf-8"?>
<sst xmlns="http://schemas.openxmlformats.org/spreadsheetml/2006/main" count="894" uniqueCount="553">
  <si>
    <t>Company Name</t>
  </si>
  <si>
    <t>KPR Mills Ltd.</t>
  </si>
  <si>
    <t>Group Number</t>
  </si>
  <si>
    <t>Group Members</t>
  </si>
  <si>
    <t>Sr. no.</t>
  </si>
  <si>
    <t>Name</t>
  </si>
  <si>
    <t>SAP ID</t>
  </si>
  <si>
    <t>Ananya Chengta</t>
  </si>
  <si>
    <t>Anshula Sonkusale</t>
  </si>
  <si>
    <t>Bharathi Kyathi Ganapathiraju</t>
  </si>
  <si>
    <t>Devak Patel</t>
  </si>
  <si>
    <t>Forum Chandarana</t>
  </si>
  <si>
    <t>Mini Kaintura</t>
  </si>
  <si>
    <t>KPR MILLS LTD</t>
  </si>
  <si>
    <t>Sr. No.</t>
  </si>
  <si>
    <t>Category (E/I/C)</t>
  </si>
  <si>
    <t>Indicator</t>
  </si>
  <si>
    <t>Source</t>
  </si>
  <si>
    <t>Url/Link</t>
  </si>
  <si>
    <t>Page No. (if applicable)</t>
  </si>
  <si>
    <t>Information</t>
  </si>
  <si>
    <t>Which Financial Indicator is affected?</t>
  </si>
  <si>
    <t>Range of Impact</t>
  </si>
  <si>
    <t>E</t>
  </si>
  <si>
    <t>Union Budget</t>
  </si>
  <si>
    <t>The Press Information Bureau (PIB)</t>
  </si>
  <si>
    <t>https://pib.gov.in/PressReleasePage.aspx?PRID=1794167
https://www.pib.gov.in/PressReleasePage.aspx?PRID=1894932#:~:text=Nirmala%20Sitharaman%20tabled%20the%20Economic,ADB%20and%20by%20RBI%2C%20domestically.</t>
  </si>
  <si>
    <t>-</t>
  </si>
  <si>
    <t>- Finance Minister Nirmala Sitharaman released budget for 2022- 2023  in which India’s GDP growth for FY 24 is anticipated at 6.5%,
- Despite the shocks like Covid – 19, Russia – Ukraine conflict, inflation (appreciation of US dollar), India is projected as the fastest growing economy in the world. Currently India is 5th largest economy in the world.                                                                                                                                                                                                                                                     
- In the Budget, 7 activities is given the priority, “Saptarishi” that includes -Infrastructure and investment, Inclusive development, Reaching the last mile, unleashing the potential, green growth, financial sector, youth power.
- Urban Infrastructure Development Fund (UIDF) is established to create infrastructure in Tier 2 and Tier 3 cities.                                                                                                                   
- Raising capital expenditure by 33% to Rs 10 lakh crore , which is 3.3% of economic output to boost demand and consumption in the economy.</t>
  </si>
  <si>
    <t>Sales Growth Rate &amp; Capital Investment</t>
  </si>
  <si>
    <t>Increase</t>
  </si>
  <si>
    <t>Infrastructure development</t>
  </si>
  <si>
    <t>TOI, business Standards</t>
  </si>
  <si>
    <t xml:space="preserve">https://timesofindia.indiatimes.com/business/budget/infrastructure-development-capex-hiked-by-33-to-rs-10-lakh-crore-for-2023-24-fm/articleshow/97517443.cms  https://www.business-standard.com/budget/article/budget-pushes-for-developing-transport-urban-infrastructure-housing-123020100581_1.html   </t>
  </si>
  <si>
    <t>- Union budget focuses on infrastructure development by allocating capex of 10 lakh crore. Adding to it, there will be more opportunity for  private investment in the  new infrastructure finance secretariat.                                                                                                                                                                                                                                                                
- Railway ministry has been given capex of 2.4 lakh crores in FY 24 for 100 crucial transport infrastructure projects for better last-mile connectivity and connectivity to ports of commodities like coal, fertiliser, food grain sector.                                                                                                                                                                                                                                                                                                                                                                                                                                                                                                         
- Gati Shakti - National Master Plan, introduced by PM Narendra Modi in October 2022 which aimed at developing an integrated infrastructure to reduce the cost of logistic and improving India’s overall competitiveness.</t>
  </si>
  <si>
    <t>Cost of transportation and distribution</t>
  </si>
  <si>
    <t>Decrease</t>
  </si>
  <si>
    <t xml:space="preserve">FTA </t>
  </si>
  <si>
    <t>Financial express, mint, business standards</t>
  </si>
  <si>
    <t>https://www.financialexpress.com/economy/india-bangladesh-to-start-fta-talks-early/2923881/ ,
https://www.livemint.com/news/india/india-bangladesh-to-soon-start-talks-for-free-trade-pact-details-here-11671764046997.html ,
https://www.business-standard.com/article/international/australia-approves-fta-with-india-to-implement-on-mutually-agreed-date-122112200615_1.html ,
https://www.financialexpress.com/economy/expect-to-sign-at-least-2-more-ftas-in-2023-says-piyush-goyal/2930671/ , https://kprmilllimited.com/file/wp-content/uploads/2022/07/Annual-Report-2022.pdf</t>
  </si>
  <si>
    <t>6/188 of annual report</t>
  </si>
  <si>
    <t>- India and Bangladesh have decided to sign FTA , discussing about feasibility of bilateral trade in rupee, removal of non- tariff barriers and port restrictions, mutual recognition of standards to boost bilateral commerce. The bilateral trade between India and Bangladesh increased $ 18.2 million in 2021-22 as against $10.8 billion in 2020.                                                                                                                                    -India and Australia have entered into Economic Cooperation and Trade Agreement (ECTA), this will give Indian exporters duty-free access to the Australian market for over 6,000 diverse products ( by eliminating custom duty on 98.3% of traded goods and on 100% tariff lines for 5 years), including textiles, leather, furniture, jewellery, and machinery. Bilateral trade is expected to cross $45-50 billion in five years from $25 billion at present after the trade deal comes into force.                                                                                                                                                                                                                                                 - Union Commerce Minister Piyush Goyal expects 2 more FTA to be signed in 2023 with UK, European Union and Canada. “India today works from a position of strength, we negotiate with confidence,” Goyal said.</t>
  </si>
  <si>
    <t>Exports</t>
  </si>
  <si>
    <t>Employment</t>
  </si>
  <si>
    <t>Times of India, Press Information Bureau, OkCredit and IndexMundi</t>
  </si>
  <si>
    <t>Textile industry supporting Indian employment (indiatimes.com) , India Age structure - Demographics (indexmundi.com), https://okcredit.in/blog/all-about-the-economy-of-india/, https://static.pib.gov.in/WriteReadData/specificdocs/documents/2022/feb/doc202222418201.pdf</t>
  </si>
  <si>
    <t xml:space="preserve">- India is on its way to surpass China as the most populated nation on earth. Out of this, 41.56% consists of the working population and is increasing over the years. Agri sector has highest employment. Followed by, manufacturing sector and then tertiary economic sector.
- Textile being one of India's major industries, this consumer cyclical sector needs skilled and unskilled human resources. It is the 2nd largest employment provider after agricultural sector with prime presence in rural areas which has abundance of unskilled manpower.
- The rise of gig economy globally has caused a major shift in the employment trends. These include freelancers, on-call workers, contractual workers, etc. There has been a projected  growth of 22.7% in FY-21 in the flexi-staffing industry. This predominantly prevails among blue collar jobs (eg- UrbanClap, Ola &amp; Uber drivers, etc). Blue collar job gigs is also emerging (eg- web designers). </t>
  </si>
  <si>
    <t>Human Resourace Expenditure</t>
  </si>
  <si>
    <t>Geopolitical- Russia and Ukraine War</t>
  </si>
  <si>
    <t>Economic Times and Business Toay</t>
  </si>
  <si>
    <t>https://economictimes.indiatimes.com/news/economy/finance/indias-slowing-economic-recovery-faces-fresh-geopolitical-risks/articleshow/89884800.cms, shorturl.at/cjkwC</t>
  </si>
  <si>
    <t>-Amid the virus outbreak and its various waves, Russia’s invasion on Ukraine, has slowed down the India’s economic growth. In the rise of Russia’s actions, it has created hinderance in the global trading chains. This crisis has increased commodity prices, hurts FIIs and FDIs and nation’s GDP despite rising inflation. Apprehensions about receiving payments for exports to Russia and Ukraine.
 - The January 2022 Household Inflation Expectations Survey expected inflation to be higher at 9.7% in February, and at 10.6 per cent in the coming three months, and 10.7% for the coming year, 2023, where in comparison RBI’s target is of 4.5% for the year.</t>
  </si>
  <si>
    <t>Cost of Production</t>
  </si>
  <si>
    <t>Inflation</t>
  </si>
  <si>
    <t>The Financial Express</t>
  </si>
  <si>
    <t>Economic Survey 2023-24 Live Updates: Union Budget Economic Survey 2023 Live Announcements, 2023 Economic Survey of India Live Updates | The Financial Express, Inflation in India expected to come down to 5 % in 2023 and 4 % in 2024, says IMF | The Financial Express</t>
  </si>
  <si>
    <t>- In reference to the Economic Survey 2023, RBI is capable to tackle inflation and is within its target despite the likelihood of global recession. The global inflation is set to fall (disinflation) from 8.8 percent in 2022 (annual average) to 6.6 percent in 2023 and 4.3 percent in 2024.                                                                                                                                                                                                                            The nation was successful to recover from the pandemic and after the declaration of the new budget as announced on 1st Feb 2023, GDP is set to increase by 6.5% growth rate in FY2024. Increased demand and capex, economy is set to grow.</t>
  </si>
  <si>
    <t>Expenditure</t>
  </si>
  <si>
    <t>Approximately Stable</t>
  </si>
  <si>
    <t>I</t>
  </si>
  <si>
    <t>Demand</t>
  </si>
  <si>
    <t>IMARC Group</t>
  </si>
  <si>
    <t>https://www.imarcgroup.com/indian-textiles-apparel-market</t>
  </si>
  <si>
    <t>- Towards the end of 2022, the Indian textile and apparel market is expected to reach US$ 172.2 billion and the sugar market sized reached 189.0 million tons .
 - Based on IMARC Group's forecast, the market of textiles and apparels will reach US $ 387.3 billion by 2028, exhibiting a growth rate (CAGR) of 14.59% and sugar market is expected to reach 217.2 million tons by 2028, exhibiting a growth rate (CAGR) of 1.64%
- 152 billion dollars were spent on domestic textiles and apparel in 2021, and this number is expected to grow to $225 billion dollars by 2025 due to a CAGR of 12%.                                                                                                                                                                                                        - Textile industry leaders predicted 2023-2024 budgetary measures would also boost domestic demand for textile products due to tax cuts and other measures.</t>
  </si>
  <si>
    <t>Sales Growth Rate</t>
  </si>
  <si>
    <t xml:space="preserve"> Raw Material</t>
  </si>
  <si>
    <t>Business Standard , Just Style , CBNC</t>
  </si>
  <si>
    <t>https://www.business-standard.com/article/companies/raw-material-price-hike-pinch-india-s-textiles-apparel-exports-in-2022-23-122061900443_1.html https://www.just-style.com/news/industry-news/textile-raw-material-prices-continue-to-increase/ https://www.cnbctv18.com/market/commodities/india-may-raise-sugarcane-frp-price-that-mills-have-to-pay-farmers-14351732.htm</t>
  </si>
  <si>
    <t>- Following COVID, there has been a gradual increase in the price of raw materials like cotton, silk, and wool, which is reflected in the price of yarn (a key raw material). In addition, the price of electricity has spiked up as well.                              -According to Fiore 21.5% of respondents reported paying low prices in July as opposed to 8.3% in June. The ISM Prices Index registered 60% in July, 18.5 percentage points lower compared to the June reading of 78.5%, indicating raw material prices increased for the twenty-sixth consecutive month, albeit at a much slower rate.                                                                                                                                     - In July, 12 of 18 industries reported paying increased prices for raw materials, with textile mills among them. On the other side the price of sugarcane per quintal was also increase, the union cabinet also approved this the highest even fair and remuneration price (FRP) of ₹305 per quintal.</t>
  </si>
  <si>
    <t>Cost of Sales , Sales and Sales Growth Rate.</t>
  </si>
  <si>
    <t>Increase- Cost of Sales Decrease- Sales and Sales Growth Rate</t>
  </si>
  <si>
    <t xml:space="preserve"> Export</t>
  </si>
  <si>
    <t xml:space="preserve"> Investindia.gov.in , Annual Report</t>
  </si>
  <si>
    <t xml:space="preserve">https://www.investindia.gov.in/sector/textiles-apparel  </t>
  </si>
  <si>
    <t>During FY22, India exported US$ 44.4 billion worth of textiles, apparel and handicrafts, a 41% increase over FY21. 6.99 billion dollars was exported for readymade clothing and cotton accessories in FY22. By 2027, India's readymade garment exports will grow by 12 to 13% and surpass 13,000,000 U.S. dollars.           
Robust opportunities in US market gives strong visibility for sustained growth in exports (currently Europe is the key market for garment exports) due to increased demand for cotton products. This is backed by strong financials suggesting a growth of revenue in the overseas market from 106,694 lakhs to 152,427 lakhs from the previous to the current financial year.</t>
  </si>
  <si>
    <t>Revenue</t>
  </si>
  <si>
    <t xml:space="preserve"> Exchange Rate</t>
  </si>
  <si>
    <t xml:space="preserve"> Fiber2Fashion</t>
  </si>
  <si>
    <t>https://www.fibre2fashion.com/industry-article/9494/exchange-rate-volatility-and-textile-trade</t>
  </si>
  <si>
    <t xml:space="preserve"> -</t>
  </si>
  <si>
    <t xml:space="preserve">International trade is heavily reliant on exchange rate volatility since almost all transactions are done in dollars. Dollar volatility inhibits businesses from making deals with overseas consumers. Textile and apparel producers are having difficulty calculating their production costs due to foreign currency fluctuations. In addition to creating uncertainty about returns, exchange rate volatility also restricts investment. As a result of foreign exchange fluctuations, governments may also have difficulty meeting their export targets. Since 2000 the Doller has appreciated 22 %against the yen and 13% against Euro. </t>
  </si>
  <si>
    <t>Revenue form Exports</t>
  </si>
  <si>
    <t>May Decrease</t>
  </si>
  <si>
    <t>Growth Drivers:-  Technology</t>
  </si>
  <si>
    <t>FibreGuard and Fiber2Fashion</t>
  </si>
  <si>
    <t>https://fibreguard.com/sell/blog/how-technology-is-changing-the-textile-industry, https://www.fibre2fashion.com/industry-article/543/indian-textile-industry?amp=true</t>
  </si>
  <si>
    <t>The textile industry is rapidly changing due and the advancements in manufacturing Process and design system. The way we see fabrics are now being revolutionise from better quality fabrics to artificial intelligence drive textile.                                -Digital twin technology which mainly focus on reducing the waste and boosts sustainability is showing a huge impact on the industry.                                                   - Under the Technology Upgradation Fund Scheme (TUFS) for benchmarked projects of modernization, the government reimburses 5% interest for loans and/or finance raised from designated financial institutions.</t>
  </si>
  <si>
    <t>Cost of Capital on new Technology Purchase</t>
  </si>
  <si>
    <t>Production Linked Incentive Scheme (PLI)</t>
  </si>
  <si>
    <t xml:space="preserve"> Ministry of Textiles , India Briefing</t>
  </si>
  <si>
    <t>https://pli.texmin.gov.in/Guidelines/Approved%20Guidelines%20for%20PLI%20scheme%20for%20Textiles.pdf https://www.india-briefing.com/news/india-pli-scheme-for-textiles-full-list-of-beneficiaries-24948.html/#:~:text=The%20scheme%20has%20two%20parts,turnover%20required%20INR%202%20billion.     https://pib.gov.in/PressReleaseIframePage.aspx?PRID=1816795</t>
  </si>
  <si>
    <t>- The government has started the Production Linked Incentive (PLI) Scheme with the objective to encourage the manufacture of MMF apparel, MMF fabrics, and products of technical textiles in the nation and help the textile industry grow and become competitive with the budget of INR 10,683 crore.
- The PLI Scheme has two parts
- Minimum investment is ₹ 3 billion and minimum annual turnover required is ₹ 6 billion
 - Minimum investment is ₹ 1 billion and minimum annual turnover required is ₹ 2 billion.
 - Total of 64 application are selected, where government has approved 14 projects under part 1 and 50 projects under part 2 in the states of Madhya Pradesh, Gujarat, Andhra Pradesh and Tamil Nadu etc.</t>
  </si>
  <si>
    <t>Capital Investment and Sales</t>
  </si>
  <si>
    <t>Incresae</t>
  </si>
  <si>
    <t>Mega integrated textile region and apparel scheme (PM MITRA)</t>
  </si>
  <si>
    <t>Ministry of Textiles</t>
  </si>
  <si>
    <t>https://pib.gov.in/PressReleasePage.aspx?PRID=1765737</t>
  </si>
  <si>
    <t>- In the union budget 2022-2023 PM MITRA scheme was launched with the objective to achieve the United Nations Sustainable Development Goal 9: “Build resilient infrastructure, promote sustainable industrialization, and foster innovation”.
- MITRA park were inspired by 5F vision of the Prime minister – Farm to fibre to factory to fashion to foreign.
- It creates an opportunity to create an integrated textile value chain right from spinning, weaving , processing/dyeing, printing and to garment manufacturing at one location which will reduce logistics cost and also improve competitiveness of Indian textile.
- It also Intended to generate 1 lakh direct and 2 lakh indirect employment per park .
- Ministry of Textiles is planning to set up 7 Mega Integrated Textile Region and Apparel (PM MITRA) Parks with a total outlay of ₹4,445 crore.</t>
  </si>
  <si>
    <t>C</t>
  </si>
  <si>
    <t>Energy consumption</t>
  </si>
  <si>
    <t>Annual Report</t>
  </si>
  <si>
    <t>https://kprmilllimited.com/file/wp-content/uploads/2022/07/Annual-Report-2022.pdf</t>
  </si>
  <si>
    <t>Page no 23 (window) and 13 (pdf)</t>
  </si>
  <si>
    <t>The company has incurred a cost increase by 383%, and an increase in units purchased by 407% from the last year. But due to the increased capacity of production in 2021-22, the company has been able to decrease the per unit electricity consumption in producing yarn, processed fabric, and readymade garment. It decreased from 2.71 units per kg to 2.70 for yarn, 1.15 units per kg to 1.08 for processed fabric and 0.23 units per kg to 0.19 for finished garment from the last year.</t>
  </si>
  <si>
    <t>Production Cost/Manufacturing Cost</t>
  </si>
  <si>
    <t>Variety of material introduced</t>
  </si>
  <si>
    <t>Page no 4 (window)</t>
  </si>
  <si>
    <t>Includes a higher variety within yarn such as compact, melange, colour melange, slub, grindle and vortex. KPR strategically has a vertically integrated alignment from yarn to apparels. This has translated into lower raw material volatility and steady EBITDA margins over the years. Higher proportion of garmenting enhances overall margin profile.</t>
  </si>
  <si>
    <r>
      <t xml:space="preserve">Sales, </t>
    </r>
    <r>
      <rPr>
        <sz val="12"/>
        <rFont val="Times New Roman"/>
        <family val="1"/>
      </rPr>
      <t>Demand,  Cost of Production</t>
    </r>
  </si>
  <si>
    <t>Both Demand and Sales will incraese and Cost of Production will be at stable price</t>
  </si>
  <si>
    <t>Maximising production capacity</t>
  </si>
  <si>
    <t>Page no 5 (window)</t>
  </si>
  <si>
    <t>Increase in the total units produced by establishing a new garment plant that produces 42 million knitted garments per annum in Erode, Tamil Nadu</t>
  </si>
  <si>
    <t>Sales Growth</t>
  </si>
  <si>
    <t>Plant locations</t>
  </si>
  <si>
    <t>Annual Report, The Textile Magazine</t>
  </si>
  <si>
    <t>https://www.indiantextilemagazine.in/kpr-mill-an-iconic-success-story/</t>
  </si>
  <si>
    <t>Page no 42 (window), 32 (pdf) and page no 176</t>
  </si>
  <si>
    <t>KPR has different plant locations within Tamil Nadu, such as Sathyamangalam initially starting with 6000 spindles, to 30420 spindles in 2000, Coimbatore, Tirpur, Perundai, etc, but all the locations are within Tamil Nadu State. Each plant is responsible for different aspects of the production process, for example, spinning, knitting, garmenting, processing and printing etc. In India the sales have grown by 33.02% from the last year.</t>
  </si>
  <si>
    <t>Cost of Inbound Logistics</t>
  </si>
  <si>
    <t>Subsidiary expansion</t>
  </si>
  <si>
    <t>Page 176</t>
  </si>
  <si>
    <t>Not just focusing on the garment industry, they have successfully managed to expand through their subsidiaries in different industries like sugar, ethanol etc. Out of the 7 subsidiary companies, the company with the highest revenue generation has been KPR Sugar Mills, with 88,652 lakhs, and highest profit after tax at 16,026 lakhs. The other 3 subsidiaries which are Sugar and Apparels Ltd, KPR Exports, PLC, KPR Pte Ltd are all in loss of 794, 829 and 41 lakhs respectively.</t>
  </si>
  <si>
    <t>Net Profit</t>
  </si>
  <si>
    <t>Versatile</t>
  </si>
  <si>
    <t>Gross Margin</t>
  </si>
  <si>
    <t>ICICI Direct Research PDF</t>
  </si>
  <si>
    <t>https://www.icicidirect.com/mailimages/IDirect_KPR_Q3FY22.pdf</t>
  </si>
  <si>
    <t>On a QoQ basis, gross margins declined 338 bps to 43.8% as KPR carried low cost cotton inventory in the previous quarter. Yarn spreads continue to remain sturdy as they have moved in tandem with a sharp rise in cotton</t>
  </si>
  <si>
    <t>Profit Margin</t>
  </si>
  <si>
    <t>Page 110</t>
  </si>
  <si>
    <t>Robust opportunities in US market gives strong visibility for sustained growth in exports (currently Europe is the key market for garment exports) due to increased demand for cotton products. This is backed by strong financials suggesting a growth of revenue in the overseas market from 106,694 lakhs to 152,427 lakhs from the previous to the current financial year. In Ethiopia KPR Mills had to close it's operations due to the unstable political situation over there.</t>
  </si>
  <si>
    <t>Exchange rate</t>
  </si>
  <si>
    <t>Page 101</t>
  </si>
  <si>
    <t>As the company deals it's international transactions in USD and Euro, the trade recievables are highest at 1620 for Euro and 1155 for USD , when not protected by a forward contract</t>
  </si>
  <si>
    <t xml:space="preserve">Particulars </t>
  </si>
  <si>
    <t>Profit and Loss Statement of KPR Mills</t>
  </si>
  <si>
    <t>I) Revenue from Operations:</t>
  </si>
  <si>
    <t>(i)Sale of Products</t>
  </si>
  <si>
    <t> </t>
  </si>
  <si>
    <t xml:space="preserve">   (a) Garment </t>
  </si>
  <si>
    <t xml:space="preserve">   (b) Yarn </t>
  </si>
  <si>
    <t xml:space="preserve">   (c) Fabric</t>
  </si>
  <si>
    <t xml:space="preserve">   (d) Cotton Waste</t>
  </si>
  <si>
    <t xml:space="preserve">   (e) Accessories and Others</t>
  </si>
  <si>
    <t>Total of Sale of Products (Gross)</t>
  </si>
  <si>
    <t xml:space="preserve">Less: Discount allowed </t>
  </si>
  <si>
    <t>Total of Sale of Products (Net)</t>
  </si>
  <si>
    <t xml:space="preserve">(ii) Sale of Services </t>
  </si>
  <si>
    <t xml:space="preserve">Processing and fabrication income </t>
  </si>
  <si>
    <t xml:space="preserve">(iii) Other Operating Revenues </t>
  </si>
  <si>
    <t>Total Revenue from Operations (i+ii+iii)</t>
  </si>
  <si>
    <t>II) Other Income</t>
  </si>
  <si>
    <t xml:space="preserve">(i) Dividend income from long term investments in subsidiaries </t>
  </si>
  <si>
    <t xml:space="preserve">(ii) Gain on sale of investment (net) </t>
  </si>
  <si>
    <t xml:space="preserve">(iii) Net gain on sale of property, plant and equipment </t>
  </si>
  <si>
    <t xml:space="preserve">(iv) Rental income </t>
  </si>
  <si>
    <t>(v) Misc Other Income</t>
  </si>
  <si>
    <t xml:space="preserve">Total of Other Income </t>
  </si>
  <si>
    <t>III)  Total income (I+II)</t>
  </si>
  <si>
    <t>IV) Expenses:</t>
  </si>
  <si>
    <t xml:space="preserve">a) Cost Of Materials Consumed </t>
  </si>
  <si>
    <t xml:space="preserve">b) Purchase of stock in trade </t>
  </si>
  <si>
    <t xml:space="preserve">c) Changes in inventories of finished goods, stock in trade and work in progress </t>
  </si>
  <si>
    <t xml:space="preserve">d) Employee benefits expense </t>
  </si>
  <si>
    <t xml:space="preserve">e) Finance costs </t>
  </si>
  <si>
    <t xml:space="preserve">f) Depreciation and Amortisation Expense </t>
  </si>
  <si>
    <t xml:space="preserve">g) Other expenses </t>
  </si>
  <si>
    <t>V) Total expenses</t>
  </si>
  <si>
    <t>VI) Profit before tax (III-V)</t>
  </si>
  <si>
    <t xml:space="preserve">VII) Tax expense </t>
  </si>
  <si>
    <t xml:space="preserve">(i) Current tax </t>
  </si>
  <si>
    <t xml:space="preserve">(ii) Deffered tax </t>
  </si>
  <si>
    <t xml:space="preserve">Income tax expense </t>
  </si>
  <si>
    <t>VIII) Profit after tax (VI-VII)</t>
  </si>
  <si>
    <t xml:space="preserve">Balance Sheet of KPR Mills </t>
  </si>
  <si>
    <t xml:space="preserve">Assets </t>
  </si>
  <si>
    <t xml:space="preserve">1) Non current assets </t>
  </si>
  <si>
    <t xml:space="preserve">a) Property, plant and equipment </t>
  </si>
  <si>
    <t xml:space="preserve">b) Capital work in progress </t>
  </si>
  <si>
    <t xml:space="preserve">c) Intangible assets </t>
  </si>
  <si>
    <t xml:space="preserve">d) Financial assets </t>
  </si>
  <si>
    <t xml:space="preserve">     i) Investments </t>
  </si>
  <si>
    <t xml:space="preserve">     ii) Loans </t>
  </si>
  <si>
    <t xml:space="preserve">     iii) Other financial assets </t>
  </si>
  <si>
    <t xml:space="preserve">e) Other non current assets </t>
  </si>
  <si>
    <t xml:space="preserve">Total non current assets </t>
  </si>
  <si>
    <t xml:space="preserve">2) Current Assets </t>
  </si>
  <si>
    <t xml:space="preserve">a) Inventories </t>
  </si>
  <si>
    <t xml:space="preserve">b) Financial assets </t>
  </si>
  <si>
    <t xml:space="preserve">    (i) Investment </t>
  </si>
  <si>
    <t xml:space="preserve">    (ii) Trade receivables </t>
  </si>
  <si>
    <t>Other data- Notes to Account</t>
  </si>
  <si>
    <t xml:space="preserve">    (iii) Cash and cash equivalents </t>
  </si>
  <si>
    <t>Particulars</t>
  </si>
  <si>
    <t xml:space="preserve">    (iv) Other bank balances </t>
  </si>
  <si>
    <t>Opening Inventory</t>
  </si>
  <si>
    <t xml:space="preserve">    (v) Other financial assets </t>
  </si>
  <si>
    <t>Add: Purchase</t>
  </si>
  <si>
    <t xml:space="preserve">(c) Other current assets </t>
  </si>
  <si>
    <t>Less: Closing Inventory</t>
  </si>
  <si>
    <t xml:space="preserve">Total current assets </t>
  </si>
  <si>
    <t>Total COGS</t>
  </si>
  <si>
    <t xml:space="preserve">Total Assets </t>
  </si>
  <si>
    <t xml:space="preserve">Equity and Liabilities </t>
  </si>
  <si>
    <t xml:space="preserve">1) Equity </t>
  </si>
  <si>
    <t xml:space="preserve">a) Equity share capital </t>
  </si>
  <si>
    <t xml:space="preserve">b) Other equity </t>
  </si>
  <si>
    <t xml:space="preserve">Total Equity </t>
  </si>
  <si>
    <t xml:space="preserve">Liabilities </t>
  </si>
  <si>
    <t xml:space="preserve">2) Non current liabilities </t>
  </si>
  <si>
    <t xml:space="preserve">a) Financial liabilities </t>
  </si>
  <si>
    <t xml:space="preserve">   i) Borrowings </t>
  </si>
  <si>
    <t xml:space="preserve">b) Deffered tax liabilities (net) </t>
  </si>
  <si>
    <t xml:space="preserve">c) Other non current liabilities </t>
  </si>
  <si>
    <t xml:space="preserve">Total non current liabilities </t>
  </si>
  <si>
    <t xml:space="preserve">3) Current liabilities </t>
  </si>
  <si>
    <t xml:space="preserve">  ii) Trade payables </t>
  </si>
  <si>
    <t xml:space="preserve">  iii) Other financial liabilities </t>
  </si>
  <si>
    <t xml:space="preserve">b) Other current liabilities </t>
  </si>
  <si>
    <t xml:space="preserve">c) Current tax liabilities (net) </t>
  </si>
  <si>
    <t xml:space="preserve">Total Current Liabilities </t>
  </si>
  <si>
    <t xml:space="preserve">Total Liabilities </t>
  </si>
  <si>
    <t xml:space="preserve">Total Equity and Liabilities </t>
  </si>
  <si>
    <t xml:space="preserve">Forecasting Factor </t>
  </si>
  <si>
    <t>Income Statement</t>
  </si>
  <si>
    <t>1. Revenue Schedule</t>
  </si>
  <si>
    <t>Case -</t>
  </si>
  <si>
    <t>Best Case</t>
  </si>
  <si>
    <t>Revenue from sales of product:</t>
  </si>
  <si>
    <t>Garments</t>
  </si>
  <si>
    <t>Worst Case</t>
  </si>
  <si>
    <t>Domestic Garments Sales</t>
  </si>
  <si>
    <t>Base Case</t>
  </si>
  <si>
    <t>Domestic Garments Sales Growth</t>
  </si>
  <si>
    <t>Export Garment Sales</t>
  </si>
  <si>
    <t>Yarn</t>
  </si>
  <si>
    <t>Fabric</t>
  </si>
  <si>
    <t>Fabric Growth</t>
  </si>
  <si>
    <t>Cotton waste</t>
  </si>
  <si>
    <t xml:space="preserve">Cotton Waste Growth </t>
  </si>
  <si>
    <t>Accessories and others</t>
  </si>
  <si>
    <t>Accessories and others Growth</t>
  </si>
  <si>
    <t>Less: Discount allowed</t>
  </si>
  <si>
    <t xml:space="preserve">Average Discount </t>
  </si>
  <si>
    <t>Total Sales From Product</t>
  </si>
  <si>
    <t>Revenue from sales from service:</t>
  </si>
  <si>
    <t>Processing and fabrication income</t>
  </si>
  <si>
    <t>Other Operating Revenues (growth rate)</t>
  </si>
  <si>
    <t>Other income:</t>
  </si>
  <si>
    <t xml:space="preserve">(i) Dividend income from long term investments in subsidiaries  </t>
  </si>
  <si>
    <t>(iv) Rental income Ratio</t>
  </si>
  <si>
    <t>2. Cost of Materials Consumed Schedule</t>
  </si>
  <si>
    <t xml:space="preserve"> Inflation</t>
  </si>
  <si>
    <t>%</t>
  </si>
  <si>
    <t>GDP</t>
  </si>
  <si>
    <t>Growth (% of revenue)</t>
  </si>
  <si>
    <t>Add: Inflation</t>
  </si>
  <si>
    <t>Add: CAGR</t>
  </si>
  <si>
    <t>Add: GDP</t>
  </si>
  <si>
    <t xml:space="preserve">Add: Exports </t>
  </si>
  <si>
    <t>Adjusted Growth Rate</t>
  </si>
  <si>
    <t>Dep Growth Rate</t>
  </si>
  <si>
    <t>Changes in inventories of finished goods, stock in trade and work in progress (% of revenue)</t>
  </si>
  <si>
    <t>Employee benefits expense (% of COGS)</t>
  </si>
  <si>
    <t xml:space="preserve">Finance costs </t>
  </si>
  <si>
    <t xml:space="preserve">Other expenses </t>
  </si>
  <si>
    <t>Export Sales</t>
  </si>
  <si>
    <t>Total Revenue</t>
  </si>
  <si>
    <t>Export Sales/Revenue</t>
  </si>
  <si>
    <t>BALANCE SHEET</t>
  </si>
  <si>
    <t>1. PPE Schedule</t>
  </si>
  <si>
    <t>Opening PPE</t>
  </si>
  <si>
    <t>(+) Capex</t>
  </si>
  <si>
    <t>(-) Dep</t>
  </si>
  <si>
    <t>Closing PPE</t>
  </si>
  <si>
    <t>Capex  Growth Rate</t>
  </si>
  <si>
    <t>Capital work in progress (% of capex)</t>
  </si>
  <si>
    <t xml:space="preserve">Intangible Assets </t>
  </si>
  <si>
    <t>Non current assets - Financial assets :</t>
  </si>
  <si>
    <t xml:space="preserve"> Other non current assets </t>
  </si>
  <si>
    <t>2. Inventories Scheduled</t>
  </si>
  <si>
    <t xml:space="preserve">Raw materials </t>
  </si>
  <si>
    <t>Work-in- progress</t>
  </si>
  <si>
    <t>Finished goods</t>
  </si>
  <si>
    <t>Stores, spares, packing and others</t>
  </si>
  <si>
    <t>Stock- in -trade</t>
  </si>
  <si>
    <t>Number of days outstanding:</t>
  </si>
  <si>
    <t>Raw materials</t>
  </si>
  <si>
    <t>Work in progress</t>
  </si>
  <si>
    <t>No of days</t>
  </si>
  <si>
    <t>Current Assets - Financial Assets:</t>
  </si>
  <si>
    <t xml:space="preserve"> Investments </t>
  </si>
  <si>
    <t>Trade Receivables (DTO)</t>
  </si>
  <si>
    <t xml:space="preserve"> Other current assets </t>
  </si>
  <si>
    <t xml:space="preserve"> Other bank balances </t>
  </si>
  <si>
    <t xml:space="preserve"> Other financial assets </t>
  </si>
  <si>
    <t>3. Total Equity Schedule-</t>
  </si>
  <si>
    <t>Face Value</t>
  </si>
  <si>
    <t xml:space="preserve">Opening No of Shares </t>
  </si>
  <si>
    <t>No of Buy Back Shares(in Lakhs)</t>
  </si>
  <si>
    <t>No of Shares (in lakhs)/Current Year Closing</t>
  </si>
  <si>
    <t>Equity Capital</t>
  </si>
  <si>
    <t>a)Net Income</t>
  </si>
  <si>
    <t>b)Expected Dividend Paid(2023-2027)</t>
  </si>
  <si>
    <t>Dividend Payout Ratio</t>
  </si>
  <si>
    <t>Reserves and Surplus Calculation/ Other Equity -</t>
  </si>
  <si>
    <t>Total Equity/Share Holders Fund</t>
  </si>
  <si>
    <t xml:space="preserve">  ii) Trade payables (CTO)</t>
  </si>
  <si>
    <t>Weighted No of Shares</t>
  </si>
  <si>
    <t>Market Price per share (as on 31st March)</t>
  </si>
  <si>
    <t xml:space="preserve">Market capitalisation (for P/S ratio) </t>
  </si>
  <si>
    <t>BVPS</t>
  </si>
  <si>
    <t>EPS</t>
  </si>
  <si>
    <t>P/E ratio</t>
  </si>
  <si>
    <t>Enterprise Value(EV)</t>
  </si>
  <si>
    <t>EV/Sales</t>
  </si>
  <si>
    <t>EV/Ebit</t>
  </si>
  <si>
    <t>EBIT</t>
  </si>
  <si>
    <t>Balance Sheet</t>
  </si>
  <si>
    <t> 0</t>
  </si>
  <si>
    <t xml:space="preserve">Total current liabilities </t>
  </si>
  <si>
    <t xml:space="preserve">Total liabilities </t>
  </si>
  <si>
    <t xml:space="preserve"> </t>
  </si>
  <si>
    <t>II) Other income</t>
  </si>
  <si>
    <t xml:space="preserve">f) Depreciation and amortisation expense </t>
  </si>
  <si>
    <t xml:space="preserve">Cashflow Statement </t>
  </si>
  <si>
    <t>Net Profit Before Tax and Extraordinary Items</t>
  </si>
  <si>
    <t>Add/Less: Non-cash operating income/expense</t>
  </si>
  <si>
    <t>Add: Depriciation</t>
  </si>
  <si>
    <t>Add: Finance Cost</t>
  </si>
  <si>
    <t>Less: Dividend Income</t>
  </si>
  <si>
    <t>Less: Rental Income</t>
  </si>
  <si>
    <t>Less: Net gain on sale of property, plant and equipment</t>
  </si>
  <si>
    <t>Less: Gain on sale of investments</t>
  </si>
  <si>
    <t>Operating Profit before working capital Changes</t>
  </si>
  <si>
    <t>Adjustments for increase / decrease in current assets:</t>
  </si>
  <si>
    <t>Inventories</t>
  </si>
  <si>
    <t>Trade Receivables</t>
  </si>
  <si>
    <t>Other financial assets</t>
  </si>
  <si>
    <t>Other current assets</t>
  </si>
  <si>
    <t>Adjustments for increase / decrease in current liabilities</t>
  </si>
  <si>
    <t>Trade Paybles</t>
  </si>
  <si>
    <t>Other Financial Liabilities</t>
  </si>
  <si>
    <t>Other curret liabilities</t>
  </si>
  <si>
    <t>Cash generated from operating activities</t>
  </si>
  <si>
    <t>Net income tax paid</t>
  </si>
  <si>
    <t>Cash from Operating Activities</t>
  </si>
  <si>
    <t>Cash from Investing activity</t>
  </si>
  <si>
    <t>Purchase/ Sales of Fixed asset -PPE</t>
  </si>
  <si>
    <t>Investment</t>
  </si>
  <si>
    <t xml:space="preserve">Dividend income from long term investments in subsidiaries </t>
  </si>
  <si>
    <t>Other Non-current assets</t>
  </si>
  <si>
    <t>Intangible asset</t>
  </si>
  <si>
    <t xml:space="preserve">Net cash used in investing activities (B) </t>
  </si>
  <si>
    <t>Cash from Financing Activity</t>
  </si>
  <si>
    <t>Long Term Borrowings</t>
  </si>
  <si>
    <t>Short Term Borrowings</t>
  </si>
  <si>
    <t>Dividend Paid</t>
  </si>
  <si>
    <t>Share buyback</t>
  </si>
  <si>
    <t>Loan</t>
  </si>
  <si>
    <t>Net cash used in financing activities (C)</t>
  </si>
  <si>
    <t>Cash and cash equivalent generated during the year</t>
  </si>
  <si>
    <t>ADD: cash and CE at the benginning of the period</t>
  </si>
  <si>
    <t>cash and CE at the end of the period</t>
  </si>
  <si>
    <t>Sr No</t>
  </si>
  <si>
    <t xml:space="preserve">Figure taken for assumption </t>
  </si>
  <si>
    <t xml:space="preserve">Income Statement </t>
  </si>
  <si>
    <t xml:space="preserve"> Export Garment Sales is set to increase by 12.5%  according to our  EIC anaylsis - Point 9 , Exports </t>
  </si>
  <si>
    <t>Growth % of Yarn is 3.7% due to global urbanisation and advances in upstream textile industry equipement taken from recent news</t>
  </si>
  <si>
    <t xml:space="preserve">https://pmarketresearch.com/yarn-market-research-2021/   </t>
  </si>
  <si>
    <t xml:space="preserve"> Discount allowed is assumed as percent of total sales of the product </t>
  </si>
  <si>
    <t xml:space="preserve">Under the production incentive linkage scheme, it was found that incentives could go upto 10%, therefore the growth in the service would be by 5%. </t>
  </si>
  <si>
    <t>There is no gain on sales of investment  and PPE</t>
  </si>
  <si>
    <t xml:space="preserve">Rental income is assumed as percentage of PPE </t>
  </si>
  <si>
    <t>Misc income is assumed to constant of previous years</t>
  </si>
  <si>
    <t>There is no purchase of stock in trade for the foreseeing future</t>
  </si>
  <si>
    <t>Changes in inventories are assumed as proportion of revenue from operation</t>
  </si>
  <si>
    <t>Employees benefit is assumed as average % of COGS</t>
  </si>
  <si>
    <t>Finance Cost is increasing with respect to inflation as a proportion of non current borrowings</t>
  </si>
  <si>
    <t>Other expenses taken as % of COGS</t>
  </si>
  <si>
    <t>Current tax taken as % of pre- tax income. And deferred tax  remains unchanged</t>
  </si>
  <si>
    <t xml:space="preserve">Capital work in progress is taken as % of capex </t>
  </si>
  <si>
    <t xml:space="preserve">Intangible asset is assumed to be constant </t>
  </si>
  <si>
    <t xml:space="preserve">Other financial assets are assumed to be constant </t>
  </si>
  <si>
    <t xml:space="preserve">The company had announced a buyback in March 2023 to be closed in April 2024 </t>
  </si>
  <si>
    <t>FCFF</t>
  </si>
  <si>
    <t>Current Ratio</t>
  </si>
  <si>
    <t>Quick Ratio</t>
  </si>
  <si>
    <t>ROE</t>
  </si>
  <si>
    <t>ROCE</t>
  </si>
  <si>
    <t>DPS</t>
  </si>
  <si>
    <t>NP Margin</t>
  </si>
  <si>
    <t>Debt to Equity</t>
  </si>
  <si>
    <t>Inventory Turnover Ratio</t>
  </si>
  <si>
    <t>Debtors Turnover Ratio</t>
  </si>
  <si>
    <t>Creditors Turnover Ratio</t>
  </si>
  <si>
    <t>Sales CAGR</t>
  </si>
  <si>
    <t>Net Profit CAGR</t>
  </si>
  <si>
    <t>EV/EBIT</t>
  </si>
  <si>
    <t>MPS</t>
  </si>
  <si>
    <t>P/E</t>
  </si>
  <si>
    <t>P/B</t>
  </si>
  <si>
    <t>P/S</t>
  </si>
  <si>
    <t>KPR Mills Ltd</t>
  </si>
  <si>
    <t>Nifty - 50</t>
  </si>
  <si>
    <t>Date</t>
  </si>
  <si>
    <t>Adj Close</t>
  </si>
  <si>
    <t>Ri</t>
  </si>
  <si>
    <t>Close</t>
  </si>
  <si>
    <t>Rm</t>
  </si>
  <si>
    <t>Beta</t>
  </si>
  <si>
    <t>Stage- 1</t>
  </si>
  <si>
    <t>Year</t>
  </si>
  <si>
    <t>Debt</t>
  </si>
  <si>
    <t>Equity</t>
  </si>
  <si>
    <t>PAT</t>
  </si>
  <si>
    <t>(+): Non Cash Charges</t>
  </si>
  <si>
    <t>Interest</t>
  </si>
  <si>
    <t>(+): Interest*(1 - Tax)</t>
  </si>
  <si>
    <t>(-) Capex</t>
  </si>
  <si>
    <t>Working Capital</t>
  </si>
  <si>
    <t>(-) Change in Working Capital</t>
  </si>
  <si>
    <t>FCFF Growth Rate</t>
  </si>
  <si>
    <t>Terminal Value</t>
  </si>
  <si>
    <t>Total</t>
  </si>
  <si>
    <t>Value of Firm</t>
  </si>
  <si>
    <t>Less: Debt</t>
  </si>
  <si>
    <t>Value of Equity</t>
  </si>
  <si>
    <t>Value per Share</t>
  </si>
  <si>
    <t>Growth Factor</t>
  </si>
  <si>
    <t>Rf</t>
  </si>
  <si>
    <t>Ke</t>
  </si>
  <si>
    <t>Post Tax Kd</t>
  </si>
  <si>
    <t>Equity Weight</t>
  </si>
  <si>
    <t>Debt Weight</t>
  </si>
  <si>
    <t xml:space="preserve">Dividend </t>
  </si>
  <si>
    <t>Dividend Growth</t>
  </si>
  <si>
    <t xml:space="preserve">Terminal value </t>
  </si>
  <si>
    <t>Total DDM</t>
  </si>
  <si>
    <t>Total No of shares</t>
  </si>
  <si>
    <t>Value per share</t>
  </si>
  <si>
    <t>Working</t>
  </si>
  <si>
    <t>H (High Growth)</t>
  </si>
  <si>
    <t>g (Stable Growth)</t>
  </si>
  <si>
    <t xml:space="preserve">Beta </t>
  </si>
  <si>
    <t xml:space="preserve">Rm </t>
  </si>
  <si>
    <t>Computation of Multiples</t>
  </si>
  <si>
    <t>Sr No.</t>
  </si>
  <si>
    <t xml:space="preserve"> Comparable Companies</t>
  </si>
  <si>
    <t xml:space="preserve">EV/Total Assets </t>
  </si>
  <si>
    <t>EV/EBITDA</t>
  </si>
  <si>
    <t>Page Industry</t>
  </si>
  <si>
    <t>Trident Ltd</t>
  </si>
  <si>
    <t>Swan Energy</t>
  </si>
  <si>
    <t>Raymond</t>
  </si>
  <si>
    <t>Welspun India</t>
  </si>
  <si>
    <t>Average</t>
  </si>
  <si>
    <t>Computation of Enterprise Value of KPR Mills by EV Ratios</t>
  </si>
  <si>
    <t>Multiples</t>
  </si>
  <si>
    <t>EV</t>
  </si>
  <si>
    <t>Sales</t>
  </si>
  <si>
    <t>Total Assets</t>
  </si>
  <si>
    <t>EBITDA</t>
  </si>
  <si>
    <t xml:space="preserve">Enterprise Value = Market Value of Debt + Market Value of Equity Shares + Market Value of Preference Shares - Closing Cash </t>
  </si>
  <si>
    <t>Market Value of Debt</t>
  </si>
  <si>
    <t>Cash and Cash Equvivalent</t>
  </si>
  <si>
    <t>Equity Value</t>
  </si>
  <si>
    <t>No of Shares</t>
  </si>
  <si>
    <t>Disposals to Capex (Sales)</t>
  </si>
  <si>
    <t>Addition to Capex (Purchase)</t>
  </si>
  <si>
    <t>Ratios</t>
  </si>
  <si>
    <t>Deperication Rate</t>
  </si>
  <si>
    <t xml:space="preserve"> Capex is to be forecasted on the basis of average of historical  % of sales</t>
  </si>
  <si>
    <t xml:space="preserve">Other bank balances and other financial assets are assumed to constant </t>
  </si>
  <si>
    <t xml:space="preserve">Loan is taken as averege proportion of total non current assets </t>
  </si>
  <si>
    <t xml:space="preserve">Non current investment and current investment  was projected using forecast linear to avoid inconsistency in growth </t>
  </si>
  <si>
    <t>Other non current asset &amp; current assets are forecasted as % of sales</t>
  </si>
  <si>
    <t>In 2024, 22.36 lakh shares will be bought back as announced by the company</t>
  </si>
  <si>
    <t>Other finanicial liablities is under current liablities is assumed using forecast linear</t>
  </si>
  <si>
    <t>Deferred tax and current tax liability assumed to constant</t>
  </si>
  <si>
    <t>Borrowing of non current liability is assumed as % of PPE</t>
  </si>
  <si>
    <t>Other non current liability taken as % of COGS</t>
  </si>
  <si>
    <t xml:space="preserve">Contribution </t>
  </si>
  <si>
    <t>Borrowings in current liabilities is forecasted as the average proportion of Total Current Liabilities from the historical data</t>
  </si>
  <si>
    <t>Pre-Tax Kd</t>
  </si>
  <si>
    <t>WACC</t>
  </si>
  <si>
    <t>FCFF Growth Rate Factor</t>
  </si>
  <si>
    <t>Add: Cash and Cash Equivalents</t>
  </si>
  <si>
    <t>No of shares</t>
  </si>
  <si>
    <t>Data Table</t>
  </si>
  <si>
    <t>WACC Computation</t>
  </si>
  <si>
    <t>Stable growth Rate</t>
  </si>
  <si>
    <t>Number of shares</t>
  </si>
  <si>
    <t>Valuation Method</t>
  </si>
  <si>
    <t>DDM</t>
  </si>
  <si>
    <t>Buy/Sell Decision</t>
  </si>
  <si>
    <t>Relative</t>
  </si>
  <si>
    <t>(i) Original</t>
  </si>
  <si>
    <t>(ii) Optimistic</t>
  </si>
  <si>
    <t>(iii) Pessimistic</t>
  </si>
  <si>
    <t>Decision</t>
  </si>
  <si>
    <t>Market Price</t>
  </si>
  <si>
    <t>Status</t>
  </si>
  <si>
    <t>Phase- 1</t>
  </si>
  <si>
    <t>Phase- 2</t>
  </si>
  <si>
    <t>Phase- 3</t>
  </si>
  <si>
    <t>Company Analysis</t>
  </si>
  <si>
    <t>Economic Analysis</t>
  </si>
  <si>
    <t>Industry Analysis</t>
  </si>
  <si>
    <t>Case, Income Statement &amp; Balance Sheet</t>
  </si>
  <si>
    <t>Income Statement &amp; Balance Sheet</t>
  </si>
  <si>
    <t>Ratios, FCFF Valuation, Relative Valuation &amp; Buy/Sell Decision</t>
  </si>
  <si>
    <t>Ratios, DDM Valuation, Relative Valuation &amp; Buy/Sell Decision</t>
  </si>
  <si>
    <t>Income Statement, Balance Sheet &amp; Cash Flow Statement (Little Corrections)</t>
  </si>
  <si>
    <t>Case &amp; Cash Flow Statement, Balance Sheet from Liabilities and Income Statement (Little Corrections)</t>
  </si>
  <si>
    <t>Dividend is calculated on the basis of Dividend Payout Ratio mentioned in the Annual Report, which is an average of 20-25%</t>
  </si>
  <si>
    <t>Valuation</t>
  </si>
  <si>
    <t xml:space="preserve">In the Indian textile industry, cotton to be precise, in regards of our company, industry is already in the maturing stage of its life cycle. Additionally, as mentioned in our EIC analysis, according to FTA policy, growth is expected. </t>
  </si>
  <si>
    <t>Hence, Stable Growth Rate is considered as 14%</t>
  </si>
  <si>
    <t>Export Growth Factor</t>
  </si>
  <si>
    <t>Stable_Growth_Rate</t>
  </si>
  <si>
    <t>Value_Per_Share</t>
  </si>
  <si>
    <t xml:space="preserve">Original </t>
  </si>
  <si>
    <t>Optimistic</t>
  </si>
  <si>
    <t>Created by BHARATHI KYATHI GANAPATHIRAJU on 22-03-2023</t>
  </si>
  <si>
    <t>Pessimistic</t>
  </si>
  <si>
    <t>Scenario Summary</t>
  </si>
  <si>
    <t>Changing Cells:</t>
  </si>
  <si>
    <t>Current Values:</t>
  </si>
  <si>
    <t>Result Cells:</t>
  </si>
  <si>
    <t>Notes:  Current Values column represents values of changing cells at</t>
  </si>
  <si>
    <t>time Scenario Summary Report was created.  Changing cells for each</t>
  </si>
  <si>
    <t>scenario are highlighted in gray.</t>
  </si>
  <si>
    <t>In DDM, the optimistic scenario is assumed to be 17% stable growth rate, and the pessimistic scenario is assumed to be 10% for scenario analysis</t>
  </si>
  <si>
    <t>Equity Value Per Share (EV Based)</t>
  </si>
  <si>
    <t>Amt (Rs)</t>
  </si>
  <si>
    <t>Transition Phase</t>
  </si>
  <si>
    <t>Stable Phase</t>
  </si>
  <si>
    <t>https://www.statista.com/statistics/271322/inflation-rate-in-india/</t>
  </si>
  <si>
    <t xml:space="preserve">Interest Rate on Loan </t>
  </si>
  <si>
    <t>Interest Rate on Loan:                               Best case: 4.2%,                              Base case: 6.2%,                        Worst case : 8.2%</t>
  </si>
  <si>
    <t>https://www.statista.com/statistics/263617/gross-domestic-product-gdp-growth-rate-in-india/</t>
  </si>
  <si>
    <t>For COGS, according to EIC analysis, it is assumed that cotton exports will grow in the range of 12% starting in the year 2022 and grow till 13% in the year 2027. GDP and Inflation taken w.r.t. latest information available on websites.</t>
  </si>
  <si>
    <t>For CAGR, 14.59% is mentioned in EIC Analysis point- 7 which is assumed to be constant.</t>
  </si>
  <si>
    <t>Created by Ananya Chengta on 22-03-2023
Modified by BHARATHI KYATHI GANAPATHIRAJU on 22-03-2023</t>
  </si>
  <si>
    <t>Export Growth -</t>
  </si>
  <si>
    <t xml:space="preserve">By 2027, India's readymade garment exports will grow by 12 to 13% and surpass 13,000,000 U.S. dollars.           </t>
  </si>
  <si>
    <t xml:space="preserve">Robust opportunities in US market gives strong visibility for sustained growth in exports (currently Europe is the key market for garment exports) due to increased demand for cotton products. </t>
  </si>
  <si>
    <t xml:space="preserve"> So Export Garment Sales is set to increase by 12.5%  </t>
  </si>
  <si>
    <t>Inflation Rate-</t>
  </si>
  <si>
    <t>Inflation Rate Leads to Increase in Cost of Goods sold of KPR mills due to Increase in Prices Of Raw Materials such as Cotton and So on. As Incrase in Cotton Prices mostley follows trend so Inflation till 2027 will  be Calculated from the Inflation Rate in India from 1987 to 2022. The Inflation Rate  will be 6.6%,4.36%,4.13%,3.99%,4% in Year 2023,2024,2025,2026,2027.</t>
  </si>
  <si>
    <t>Under the production incentive linkage scheme, it was found that incentives could go upto 5-10%, therefore the Revenue growth in the  Textile service(Labour Work of Fabrication) would be by 5%.  As Textile services Require Equipments and New Tecnology to boost Production and Equpments and Technology may funded under PLI "scheme" If KPr millss listed in Scheme 3 List.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</si>
</sst>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8" formatCode="&quot;₹&quot;\ #,##0.00;[Red]&quot;₹&quot;\ \-#,##0.00"/>
    <numFmt numFmtId="44" formatCode="_ &quot;₹&quot;\ * #,##0.00_ ;_ &quot;₹&quot;\ * \-#,##0.00_ ;_ &quot;₹&quot;\ * &quot;-&quot;??_ ;_ @_ "/>
    <numFmt numFmtId="43" formatCode="_ * #,##0.00_ ;_ * \-#,##0.00_ ;_ * &quot;-&quot;??_ ;_ @_ "/>
    <numFmt numFmtId="164" formatCode="_(* #,##0.00_);_(* \(#,##0.00\);_(* &quot;-&quot;??_);_(@_)"/>
    <numFmt numFmtId="165" formatCode="0.0%"/>
    <numFmt numFmtId="166" formatCode="_ * #,##0_ ;_ * \-#,##0_ ;_ * &quot;-&quot;??_ ;_ @_ "/>
    <numFmt numFmtId="167" formatCode="0.0000"/>
    <numFmt numFmtId="168" formatCode="0.000"/>
    <numFmt numFmtId="169" formatCode="&quot;₹&quot;\ #,##0.00"/>
    <numFmt numFmtId="170" formatCode="0.000%"/>
    <numFmt numFmtId="171" formatCode="_ * #,##0.0000_ ;_ * \-#,##0.0000_ ;_ * &quot;-&quot;??_ ;_ @_ "/>
  </numFmts>
  <fonts count="49" x14ac:knownFonts="1">
    <font>
      <sz val="11"/>
      <color theme="1"/>
      <name val="Calibri"/>
      <family val="2"/>
      <scheme val="minor"/>
    </font>
    <font>
      <sz val="11"/>
      <color theme="1"/>
      <name val="Calibri"/>
      <family val="2"/>
      <scheme val="minor"/>
    </font>
    <font>
      <b/>
      <i/>
      <sz val="11"/>
      <color theme="1"/>
      <name val="Calibri"/>
      <family val="2"/>
      <scheme val="minor"/>
    </font>
    <font>
      <u/>
      <sz val="11"/>
      <color theme="1"/>
      <name val="Times New Roman"/>
      <family val="1"/>
    </font>
    <font>
      <sz val="11"/>
      <color theme="1"/>
      <name val="Times New Roman"/>
      <family val="1"/>
    </font>
    <font>
      <b/>
      <sz val="11"/>
      <color theme="1"/>
      <name val="Times New Roman"/>
      <family val="1"/>
    </font>
    <font>
      <sz val="12"/>
      <color theme="1"/>
      <name val="Times New Roman"/>
      <family val="1"/>
    </font>
    <font>
      <sz val="12"/>
      <color rgb="FF000000"/>
      <name val="Times New Roman"/>
      <family val="1"/>
    </font>
    <font>
      <b/>
      <sz val="12"/>
      <color rgb="FF000000"/>
      <name val="Times New Roman"/>
      <family val="1"/>
    </font>
    <font>
      <b/>
      <i/>
      <sz val="12"/>
      <color rgb="FF000000"/>
      <name val="Times New Roman"/>
      <family val="1"/>
    </font>
    <font>
      <b/>
      <i/>
      <sz val="12"/>
      <color theme="1"/>
      <name val="Times New Roman"/>
      <family val="1"/>
    </font>
    <font>
      <b/>
      <sz val="12"/>
      <color theme="1"/>
      <name val="Times New Roman"/>
      <family val="1"/>
    </font>
    <font>
      <b/>
      <sz val="14"/>
      <color theme="1"/>
      <name val="Times New Roman"/>
      <family val="1"/>
    </font>
    <font>
      <b/>
      <sz val="14"/>
      <color rgb="FF000000"/>
      <name val="Times New Roman"/>
      <family val="1"/>
    </font>
    <font>
      <b/>
      <sz val="13"/>
      <color rgb="FF000000"/>
      <name val="Times New Roman"/>
      <family val="1"/>
    </font>
    <font>
      <b/>
      <sz val="14"/>
      <color theme="0"/>
      <name val="Times New Roman"/>
      <family val="1"/>
    </font>
    <font>
      <sz val="12"/>
      <color rgb="FFFFC000"/>
      <name val="Times New Roman"/>
      <family val="1"/>
    </font>
    <font>
      <sz val="12"/>
      <color theme="0"/>
      <name val="Times New Roman"/>
      <family val="1"/>
    </font>
    <font>
      <b/>
      <sz val="18"/>
      <color theme="0"/>
      <name val="Times New Roman"/>
      <family val="1"/>
    </font>
    <font>
      <sz val="12"/>
      <color rgb="FF000000"/>
      <name val="Times New Roman"/>
      <family val="1"/>
    </font>
    <font>
      <b/>
      <sz val="12"/>
      <color rgb="FF000000"/>
      <name val="Times New Roman"/>
      <family val="1"/>
    </font>
    <font>
      <b/>
      <sz val="12"/>
      <color theme="0"/>
      <name val="Times New Roman"/>
      <family val="1"/>
    </font>
    <font>
      <u/>
      <sz val="11"/>
      <color theme="10"/>
      <name val="Calibri"/>
      <family val="2"/>
      <scheme val="minor"/>
    </font>
    <font>
      <b/>
      <i/>
      <sz val="11"/>
      <color theme="1"/>
      <name val="Times New Roman"/>
      <family val="1"/>
    </font>
    <font>
      <sz val="10"/>
      <color rgb="FF000000"/>
      <name val="Times New Roman"/>
      <family val="1"/>
    </font>
    <font>
      <b/>
      <sz val="16"/>
      <color rgb="FFFFFFFF"/>
      <name val="Times New Roman"/>
      <family val="1"/>
    </font>
    <font>
      <b/>
      <sz val="12"/>
      <color rgb="FFE7E6E6"/>
      <name val="Times New Roman"/>
      <family val="1"/>
    </font>
    <font>
      <u/>
      <sz val="10"/>
      <color rgb="FF0D5ADB"/>
      <name val="Times New Roman"/>
      <family val="1"/>
    </font>
    <font>
      <u/>
      <sz val="10"/>
      <color rgb="FF1155CC"/>
      <name val="Arial"/>
      <family val="2"/>
    </font>
    <font>
      <sz val="12"/>
      <name val="Times New Roman"/>
      <family val="1"/>
    </font>
    <font>
      <b/>
      <sz val="16"/>
      <color rgb="FF000000"/>
      <name val="Times New Roman"/>
      <family val="1"/>
    </font>
    <font>
      <sz val="12"/>
      <color rgb="FFFF0000"/>
      <name val="Times New Roman"/>
      <family val="1"/>
    </font>
    <font>
      <b/>
      <sz val="14"/>
      <name val="Times New Roman"/>
      <family val="1"/>
    </font>
    <font>
      <b/>
      <sz val="14"/>
      <color theme="7" tint="0.59999389629810485"/>
      <name val="Times New Roman"/>
      <family val="1"/>
    </font>
    <font>
      <sz val="12"/>
      <color theme="7" tint="0.79998168889431442"/>
      <name val="Times New Roman"/>
      <family val="1"/>
    </font>
    <font>
      <sz val="12"/>
      <color theme="1"/>
      <name val="Calibri"/>
      <family val="2"/>
      <scheme val="minor"/>
    </font>
    <font>
      <u/>
      <sz val="12"/>
      <color rgb="FF000000"/>
      <name val="Times New Roman"/>
      <family val="1"/>
    </font>
    <font>
      <b/>
      <sz val="12"/>
      <name val="Times New Roman"/>
      <family val="1"/>
    </font>
    <font>
      <sz val="11"/>
      <color rgb="FF000000"/>
      <name val="Calibri"/>
      <family val="2"/>
      <scheme val="minor"/>
    </font>
    <font>
      <sz val="12"/>
      <color rgb="FF252424"/>
      <name val="Times New Roman"/>
      <family val="1"/>
    </font>
    <font>
      <b/>
      <sz val="12"/>
      <color indexed="9"/>
      <name val="Calibri"/>
      <family val="2"/>
      <scheme val="minor"/>
    </font>
    <font>
      <b/>
      <sz val="11"/>
      <color indexed="8"/>
      <name val="Calibri"/>
      <family val="2"/>
      <scheme val="minor"/>
    </font>
    <font>
      <b/>
      <sz val="11"/>
      <color indexed="18"/>
      <name val="Calibri"/>
      <family val="2"/>
      <scheme val="minor"/>
    </font>
    <font>
      <sz val="10"/>
      <color indexed="9"/>
      <name val="Calibri"/>
      <family val="2"/>
      <scheme val="minor"/>
    </font>
    <font>
      <sz val="8"/>
      <color theme="1"/>
      <name val="Calibri"/>
      <family val="2"/>
      <scheme val="minor"/>
    </font>
    <font>
      <sz val="14"/>
      <color rgb="FF000000"/>
      <name val="Times New Roman"/>
      <family val="1"/>
    </font>
    <font>
      <b/>
      <sz val="14"/>
      <color theme="4" tint="0.39997558519241921"/>
      <name val="Times New Roman"/>
      <family val="1"/>
    </font>
    <font>
      <sz val="16"/>
      <color rgb="FF000000"/>
      <name val="Times New Roman"/>
      <family val="1"/>
    </font>
    <font>
      <sz val="14"/>
      <color theme="1"/>
      <name val="Times New Roman"/>
      <family val="1"/>
    </font>
  </fonts>
  <fills count="31">
    <fill>
      <patternFill patternType="none"/>
    </fill>
    <fill>
      <patternFill patternType="gray125"/>
    </fill>
    <fill>
      <patternFill patternType="solid">
        <fgColor theme="4" tint="0.59999389629810485"/>
        <bgColor indexed="64"/>
      </patternFill>
    </fill>
    <fill>
      <patternFill patternType="solid">
        <fgColor theme="0"/>
        <bgColor indexed="64"/>
      </patternFill>
    </fill>
    <fill>
      <patternFill patternType="solid">
        <fgColor theme="7" tint="0.39997558519241921"/>
        <bgColor indexed="64"/>
      </patternFill>
    </fill>
    <fill>
      <patternFill patternType="solid">
        <fgColor rgb="FF600982"/>
        <bgColor indexed="64"/>
      </patternFill>
    </fill>
    <fill>
      <patternFill patternType="solid">
        <fgColor theme="7" tint="0.59999389629810485"/>
        <bgColor indexed="64"/>
      </patternFill>
    </fill>
    <fill>
      <patternFill patternType="solid">
        <fgColor theme="5" tint="0.59999389629810485"/>
        <bgColor indexed="64"/>
      </patternFill>
    </fill>
    <fill>
      <patternFill patternType="solid">
        <fgColor theme="4" tint="-0.499984740745262"/>
        <bgColor indexed="64"/>
      </patternFill>
    </fill>
    <fill>
      <patternFill patternType="solid">
        <fgColor rgb="FFA9D6CC"/>
        <bgColor indexed="64"/>
      </patternFill>
    </fill>
    <fill>
      <patternFill patternType="solid">
        <fgColor rgb="FFEED5F7"/>
        <bgColor indexed="64"/>
      </patternFill>
    </fill>
    <fill>
      <patternFill patternType="solid">
        <fgColor rgb="FF146B58"/>
        <bgColor indexed="64"/>
      </patternFill>
    </fill>
    <fill>
      <patternFill patternType="solid">
        <fgColor theme="8" tint="0.79998168889431442"/>
        <bgColor indexed="64"/>
      </patternFill>
    </fill>
    <fill>
      <patternFill patternType="solid">
        <fgColor rgb="FF4D1478"/>
        <bgColor indexed="64"/>
      </patternFill>
    </fill>
    <fill>
      <patternFill patternType="solid">
        <fgColor theme="5" tint="-0.249977111117893"/>
        <bgColor indexed="64"/>
      </patternFill>
    </fill>
    <fill>
      <patternFill patternType="solid">
        <fgColor theme="5" tint="0.79998168889431442"/>
        <bgColor indexed="64"/>
      </patternFill>
    </fill>
    <fill>
      <patternFill patternType="solid">
        <fgColor rgb="FF093D93"/>
        <bgColor rgb="FF000000"/>
      </patternFill>
    </fill>
    <fill>
      <patternFill patternType="solid">
        <fgColor rgb="FF093D93"/>
        <bgColor rgb="FF333F4F"/>
      </patternFill>
    </fill>
    <fill>
      <patternFill patternType="solid">
        <fgColor rgb="FFFEF2CD"/>
        <bgColor rgb="FF000000"/>
      </patternFill>
    </fill>
    <fill>
      <patternFill patternType="solid">
        <fgColor rgb="FFFEF2CD"/>
        <bgColor rgb="FFFFFFFF"/>
      </patternFill>
    </fill>
    <fill>
      <patternFill patternType="solid">
        <fgColor rgb="FFFEF2CD"/>
        <bgColor rgb="FFE393FF"/>
      </patternFill>
    </fill>
    <fill>
      <patternFill patternType="solid">
        <fgColor theme="5" tint="0.39997558519241921"/>
        <bgColor indexed="64"/>
      </patternFill>
    </fill>
    <fill>
      <patternFill patternType="solid">
        <fgColor theme="7" tint="-0.499984740745262"/>
        <bgColor indexed="64"/>
      </patternFill>
    </fill>
    <fill>
      <patternFill patternType="solid">
        <fgColor theme="5" tint="-0.499984740745262"/>
        <bgColor indexed="64"/>
      </patternFill>
    </fill>
    <fill>
      <patternFill patternType="solid">
        <fgColor indexed="20"/>
        <bgColor indexed="24"/>
      </patternFill>
    </fill>
    <fill>
      <patternFill patternType="solid">
        <fgColor indexed="22"/>
        <bgColor indexed="24"/>
      </patternFill>
    </fill>
    <fill>
      <patternFill patternType="solid">
        <fgColor indexed="22"/>
        <bgColor indexed="7"/>
      </patternFill>
    </fill>
    <fill>
      <patternFill patternType="solid">
        <fgColor rgb="FFAEDE82"/>
        <bgColor indexed="64"/>
      </patternFill>
    </fill>
    <fill>
      <patternFill patternType="solid">
        <fgColor theme="1" tint="4.9989318521683403E-2"/>
        <bgColor indexed="64"/>
      </patternFill>
    </fill>
    <fill>
      <patternFill patternType="solid">
        <fgColor rgb="FFCC3300"/>
        <bgColor indexed="64"/>
      </patternFill>
    </fill>
    <fill>
      <patternFill patternType="solid">
        <fgColor rgb="FFFF7043"/>
        <bgColor indexed="64"/>
      </patternFill>
    </fill>
  </fills>
  <borders count="161">
    <border>
      <left/>
      <right/>
      <top/>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style="medium">
        <color rgb="FF000000"/>
      </left>
      <right style="thin">
        <color indexed="64"/>
      </right>
      <top style="medium">
        <color rgb="FF000000"/>
      </top>
      <bottom style="thin">
        <color indexed="64"/>
      </bottom>
      <diagonal/>
    </border>
    <border>
      <left/>
      <right style="thin">
        <color indexed="64"/>
      </right>
      <top style="medium">
        <color rgb="FF000000"/>
      </top>
      <bottom style="thin">
        <color indexed="64"/>
      </bottom>
      <diagonal/>
    </border>
    <border>
      <left/>
      <right style="medium">
        <color rgb="FF000000"/>
      </right>
      <top style="medium">
        <color rgb="FF000000"/>
      </top>
      <bottom style="thin">
        <color indexed="64"/>
      </bottom>
      <diagonal/>
    </border>
    <border>
      <left style="medium">
        <color rgb="FF000000"/>
      </left>
      <right style="thin">
        <color indexed="64"/>
      </right>
      <top/>
      <bottom style="thin">
        <color indexed="64"/>
      </bottom>
      <diagonal/>
    </border>
    <border>
      <left/>
      <right style="medium">
        <color rgb="FF000000"/>
      </right>
      <top/>
      <bottom style="thin">
        <color indexed="64"/>
      </bottom>
      <diagonal/>
    </border>
    <border>
      <left style="medium">
        <color rgb="FF000000"/>
      </left>
      <right style="thin">
        <color indexed="64"/>
      </right>
      <top/>
      <bottom style="medium">
        <color rgb="FF000000"/>
      </bottom>
      <diagonal/>
    </border>
    <border>
      <left/>
      <right style="thin">
        <color indexed="64"/>
      </right>
      <top/>
      <bottom style="medium">
        <color rgb="FF000000"/>
      </bottom>
      <diagonal/>
    </border>
    <border>
      <left/>
      <right style="medium">
        <color rgb="FF000000"/>
      </right>
      <top/>
      <bottom style="medium">
        <color rgb="FF000000"/>
      </bottom>
      <diagonal/>
    </border>
    <border>
      <left style="thin">
        <color indexed="64"/>
      </left>
      <right style="thin">
        <color indexed="64"/>
      </right>
      <top/>
      <bottom style="thin">
        <color indexed="64"/>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medium">
        <color rgb="FF000000"/>
      </left>
      <right style="thin">
        <color rgb="FF000000"/>
      </right>
      <top style="medium">
        <color rgb="FF000000"/>
      </top>
      <bottom style="medium">
        <color rgb="FF000000"/>
      </bottom>
      <diagonal/>
    </border>
    <border>
      <left style="thin">
        <color rgb="FF000000"/>
      </left>
      <right style="thin">
        <color rgb="FF000000"/>
      </right>
      <top style="medium">
        <color rgb="FF000000"/>
      </top>
      <bottom style="medium">
        <color rgb="FF000000"/>
      </bottom>
      <diagonal/>
    </border>
    <border>
      <left style="thin">
        <color rgb="FF000000"/>
      </left>
      <right style="medium">
        <color rgb="FF000000"/>
      </right>
      <top style="medium">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style="thin">
        <color rgb="FF000000"/>
      </right>
      <top/>
      <bottom/>
      <diagonal/>
    </border>
    <border>
      <left style="thin">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medium">
        <color rgb="FF000000"/>
      </right>
      <top style="thin">
        <color rgb="FF000000"/>
      </top>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indexed="64"/>
      </left>
      <right style="thin">
        <color indexed="64"/>
      </right>
      <top style="medium">
        <color rgb="FF000000"/>
      </top>
      <bottom style="medium">
        <color rgb="FF000000"/>
      </bottom>
      <diagonal/>
    </border>
    <border>
      <left style="thin">
        <color indexed="64"/>
      </left>
      <right style="medium">
        <color rgb="FF000000"/>
      </right>
      <top style="medium">
        <color rgb="FF000000"/>
      </top>
      <bottom style="medium">
        <color rgb="FF000000"/>
      </bottom>
      <diagonal/>
    </border>
    <border>
      <left style="medium">
        <color rgb="FF000000"/>
      </left>
      <right style="thin">
        <color indexed="64"/>
      </right>
      <top style="medium">
        <color rgb="FF000000"/>
      </top>
      <bottom style="medium">
        <color rgb="FF000000"/>
      </bottom>
      <diagonal/>
    </border>
    <border>
      <left style="thin">
        <color rgb="FF000000"/>
      </left>
      <right/>
      <top/>
      <bottom style="thin">
        <color rgb="FF000000"/>
      </bottom>
      <diagonal/>
    </border>
    <border>
      <left style="thin">
        <color rgb="FF000000"/>
      </left>
      <right/>
      <top style="thin">
        <color rgb="FF000000"/>
      </top>
      <bottom/>
      <diagonal/>
    </border>
    <border>
      <left style="medium">
        <color rgb="FF000000"/>
      </left>
      <right style="thin">
        <color indexed="64"/>
      </right>
      <top style="thin">
        <color indexed="64"/>
      </top>
      <bottom/>
      <diagonal/>
    </border>
    <border>
      <left style="thin">
        <color indexed="64"/>
      </left>
      <right style="medium">
        <color rgb="FF000000"/>
      </right>
      <top style="thin">
        <color indexed="64"/>
      </top>
      <bottom/>
      <diagonal/>
    </border>
    <border>
      <left style="medium">
        <color rgb="FF000000"/>
      </left>
      <right style="thin">
        <color indexed="64"/>
      </right>
      <top/>
      <bottom/>
      <diagonal/>
    </border>
    <border>
      <left style="thin">
        <color indexed="64"/>
      </left>
      <right style="medium">
        <color rgb="FF000000"/>
      </right>
      <top/>
      <bottom/>
      <diagonal/>
    </border>
    <border>
      <left style="medium">
        <color rgb="FF000000"/>
      </left>
      <right/>
      <top/>
      <bottom/>
      <diagonal/>
    </border>
    <border>
      <left/>
      <right style="medium">
        <color rgb="FF000000"/>
      </right>
      <top/>
      <bottom/>
      <diagonal/>
    </border>
    <border>
      <left style="medium">
        <color rgb="FF000000"/>
      </left>
      <right style="thin">
        <color indexed="64"/>
      </right>
      <top style="thin">
        <color indexed="64"/>
      </top>
      <bottom style="thin">
        <color indexed="64"/>
      </bottom>
      <diagonal/>
    </border>
    <border>
      <left style="thin">
        <color rgb="FF000000"/>
      </left>
      <right/>
      <top/>
      <bottom/>
      <diagonal/>
    </border>
    <border>
      <left style="thin">
        <color indexed="64"/>
      </left>
      <right style="medium">
        <color rgb="FF000000"/>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medium">
        <color rgb="FF000000"/>
      </left>
      <right/>
      <top style="thin">
        <color rgb="FF000000"/>
      </top>
      <bottom style="medium">
        <color rgb="FF000000"/>
      </bottom>
      <diagonal/>
    </border>
    <border>
      <left/>
      <right style="thin">
        <color indexed="64"/>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bottom style="thin">
        <color indexed="64"/>
      </bottom>
      <diagonal/>
    </border>
    <border>
      <left/>
      <right style="medium">
        <color indexed="64"/>
      </right>
      <top/>
      <bottom style="thin">
        <color indexed="64"/>
      </bottom>
      <diagonal/>
    </border>
    <border>
      <left style="medium">
        <color indexed="64"/>
      </left>
      <right style="thin">
        <color indexed="64"/>
      </right>
      <top/>
      <bottom style="medium">
        <color indexed="64"/>
      </bottom>
      <diagonal/>
    </border>
    <border>
      <left/>
      <right style="thin">
        <color indexed="64"/>
      </right>
      <top/>
      <bottom style="medium">
        <color indexed="64"/>
      </bottom>
      <diagonal/>
    </border>
    <border>
      <left/>
      <right style="medium">
        <color indexed="64"/>
      </right>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rgb="FF000000"/>
      </left>
      <right style="medium">
        <color indexed="64"/>
      </right>
      <top style="thin">
        <color rgb="FF000000"/>
      </top>
      <bottom style="thin">
        <color rgb="FF000000"/>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rgb="FF000000"/>
      </right>
      <top style="medium">
        <color indexed="64"/>
      </top>
      <bottom style="thin">
        <color rgb="FF000000"/>
      </bottom>
      <diagonal/>
    </border>
    <border>
      <left style="thin">
        <color rgb="FF000000"/>
      </left>
      <right style="thin">
        <color rgb="FF000000"/>
      </right>
      <top style="medium">
        <color indexed="64"/>
      </top>
      <bottom style="thin">
        <color rgb="FF000000"/>
      </bottom>
      <diagonal/>
    </border>
    <border>
      <left style="thin">
        <color rgb="FF000000"/>
      </left>
      <right style="medium">
        <color indexed="64"/>
      </right>
      <top style="medium">
        <color indexed="64"/>
      </top>
      <bottom style="thin">
        <color rgb="FF000000"/>
      </bottom>
      <diagonal/>
    </border>
    <border>
      <left style="medium">
        <color indexed="64"/>
      </left>
      <right style="thin">
        <color rgb="FF000000"/>
      </right>
      <top style="thin">
        <color rgb="FF000000"/>
      </top>
      <bottom style="thin">
        <color rgb="FF000000"/>
      </bottom>
      <diagonal/>
    </border>
    <border>
      <left style="medium">
        <color indexed="64"/>
      </left>
      <right style="thin">
        <color rgb="FF000000"/>
      </right>
      <top style="thin">
        <color rgb="FF000000"/>
      </top>
      <bottom style="medium">
        <color indexed="64"/>
      </bottom>
      <diagonal/>
    </border>
    <border>
      <left style="thin">
        <color rgb="FF000000"/>
      </left>
      <right style="thin">
        <color rgb="FF000000"/>
      </right>
      <top style="thin">
        <color rgb="FF000000"/>
      </top>
      <bottom style="medium">
        <color indexed="64"/>
      </bottom>
      <diagonal/>
    </border>
    <border>
      <left style="thin">
        <color rgb="FF000000"/>
      </left>
      <right style="medium">
        <color indexed="64"/>
      </right>
      <top style="thin">
        <color rgb="FF000000"/>
      </top>
      <bottom style="medium">
        <color indexed="64"/>
      </bottom>
      <diagonal/>
    </border>
    <border>
      <left style="medium">
        <color indexed="64"/>
      </left>
      <right style="thin">
        <color rgb="FF000000"/>
      </right>
      <top style="medium">
        <color indexed="64"/>
      </top>
      <bottom style="medium">
        <color indexed="64"/>
      </bottom>
      <diagonal/>
    </border>
    <border>
      <left style="thin">
        <color rgb="FF000000"/>
      </left>
      <right style="thin">
        <color rgb="FF000000"/>
      </right>
      <top style="medium">
        <color indexed="64"/>
      </top>
      <bottom style="medium">
        <color indexed="64"/>
      </bottom>
      <diagonal/>
    </border>
    <border>
      <left style="thin">
        <color rgb="FF000000"/>
      </left>
      <right style="medium">
        <color indexed="64"/>
      </right>
      <top style="medium">
        <color indexed="64"/>
      </top>
      <bottom style="medium">
        <color indexed="64"/>
      </bottom>
      <diagonal/>
    </border>
    <border>
      <left style="thin">
        <color indexed="64"/>
      </left>
      <right style="medium">
        <color rgb="FF000000"/>
      </right>
      <top/>
      <bottom style="thin">
        <color indexed="64"/>
      </bottom>
      <diagonal/>
    </border>
    <border>
      <left style="medium">
        <color rgb="FF000000"/>
      </left>
      <right style="thin">
        <color indexed="64"/>
      </right>
      <top style="thin">
        <color indexed="64"/>
      </top>
      <bottom style="medium">
        <color rgb="FF000000"/>
      </bottom>
      <diagonal/>
    </border>
    <border>
      <left style="thin">
        <color indexed="64"/>
      </left>
      <right style="thin">
        <color indexed="64"/>
      </right>
      <top style="thin">
        <color indexed="64"/>
      </top>
      <bottom style="medium">
        <color rgb="FF000000"/>
      </bottom>
      <diagonal/>
    </border>
    <border>
      <left style="thin">
        <color indexed="64"/>
      </left>
      <right/>
      <top style="thin">
        <color indexed="64"/>
      </top>
      <bottom style="medium">
        <color rgb="FF000000"/>
      </bottom>
      <diagonal/>
    </border>
    <border>
      <left style="thin">
        <color indexed="64"/>
      </left>
      <right style="medium">
        <color rgb="FF000000"/>
      </right>
      <top style="thin">
        <color indexed="64"/>
      </top>
      <bottom style="medium">
        <color rgb="FF000000"/>
      </bottom>
      <diagonal/>
    </border>
    <border>
      <left style="thin">
        <color indexed="64"/>
      </left>
      <right style="thin">
        <color indexed="64"/>
      </right>
      <top style="medium">
        <color rgb="FF000000"/>
      </top>
      <bottom style="thin">
        <color indexed="64"/>
      </bottom>
      <diagonal/>
    </border>
    <border>
      <left style="thin">
        <color indexed="64"/>
      </left>
      <right/>
      <top style="medium">
        <color rgb="FF000000"/>
      </top>
      <bottom style="thin">
        <color indexed="64"/>
      </bottom>
      <diagonal/>
    </border>
    <border>
      <left style="thin">
        <color indexed="64"/>
      </left>
      <right style="medium">
        <color rgb="FF000000"/>
      </right>
      <top style="medium">
        <color rgb="FF000000"/>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thin">
        <color indexed="64"/>
      </left>
      <right style="medium">
        <color indexed="64"/>
      </right>
      <top/>
      <bottom style="thin">
        <color indexed="64"/>
      </bottom>
      <diagonal/>
    </border>
    <border>
      <left style="thin">
        <color rgb="FF000000"/>
      </left>
      <right/>
      <top style="thin">
        <color rgb="FF000000"/>
      </top>
      <bottom style="thin">
        <color rgb="FF000000"/>
      </bottom>
      <diagonal/>
    </border>
    <border>
      <left style="medium">
        <color rgb="FF000000"/>
      </left>
      <right/>
      <top/>
      <bottom style="medium">
        <color rgb="FF000000"/>
      </bottom>
      <diagonal/>
    </border>
    <border>
      <left style="medium">
        <color rgb="FF000000"/>
      </left>
      <right style="medium">
        <color rgb="FF000000"/>
      </right>
      <top/>
      <bottom style="medium">
        <color rgb="FF000000"/>
      </bottom>
      <diagonal/>
    </border>
    <border>
      <left/>
      <right/>
      <top style="medium">
        <color rgb="FF000000"/>
      </top>
      <bottom style="thin">
        <color indexed="64"/>
      </bottom>
      <diagonal/>
    </border>
    <border>
      <left style="medium">
        <color rgb="FF000000"/>
      </left>
      <right/>
      <top style="medium">
        <color rgb="FF000000"/>
      </top>
      <bottom style="thin">
        <color indexed="64"/>
      </bottom>
      <diagonal/>
    </border>
    <border>
      <left style="medium">
        <color indexed="64"/>
      </left>
      <right/>
      <top/>
      <bottom/>
      <diagonal/>
    </border>
    <border>
      <left/>
      <right style="medium">
        <color indexed="64"/>
      </right>
      <top/>
      <bottom/>
      <diagonal/>
    </border>
    <border>
      <left style="thin">
        <color indexed="64"/>
      </left>
      <right style="thin">
        <color indexed="64"/>
      </right>
      <top style="medium">
        <color indexed="64"/>
      </top>
      <bottom style="medium">
        <color indexed="64"/>
      </bottom>
      <diagonal/>
    </border>
    <border>
      <left style="medium">
        <color rgb="FF000000"/>
      </left>
      <right style="thin">
        <color rgb="FF000000"/>
      </right>
      <top/>
      <bottom style="medium">
        <color rgb="FF000000"/>
      </bottom>
      <diagonal/>
    </border>
    <border>
      <left style="thin">
        <color rgb="FF000000"/>
      </left>
      <right/>
      <top style="thin">
        <color rgb="FF000000"/>
      </top>
      <bottom style="medium">
        <color rgb="FF000000"/>
      </bottom>
      <diagonal/>
    </border>
    <border>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top style="medium">
        <color indexed="64"/>
      </top>
      <bottom/>
      <diagonal/>
    </border>
    <border>
      <left style="medium">
        <color rgb="FF000000"/>
      </left>
      <right/>
      <top style="medium">
        <color indexed="64"/>
      </top>
      <bottom/>
      <diagonal/>
    </border>
    <border>
      <left style="medium">
        <color rgb="FF000000"/>
      </left>
      <right style="medium">
        <color indexed="64"/>
      </right>
      <top style="medium">
        <color indexed="64"/>
      </top>
      <bottom/>
      <diagonal/>
    </border>
    <border>
      <left/>
      <right/>
      <top/>
      <bottom style="medium">
        <color indexed="64"/>
      </bottom>
      <diagonal/>
    </border>
    <border>
      <left/>
      <right/>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top style="thin">
        <color indexed="64"/>
      </top>
      <bottom style="medium">
        <color indexed="64"/>
      </bottom>
      <diagonal/>
    </border>
    <border>
      <left/>
      <right style="medium">
        <color indexed="64"/>
      </right>
      <top style="thin">
        <color indexed="64"/>
      </top>
      <bottom style="medium">
        <color indexed="64"/>
      </bottom>
      <diagonal/>
    </border>
    <border>
      <left style="medium">
        <color rgb="FF000000"/>
      </left>
      <right/>
      <top/>
      <bottom style="thin">
        <color rgb="FF000000"/>
      </bottom>
      <diagonal/>
    </border>
    <border>
      <left style="medium">
        <color indexed="64"/>
      </left>
      <right style="thin">
        <color rgb="FF000000"/>
      </right>
      <top/>
      <bottom style="thin">
        <color rgb="FF000000"/>
      </bottom>
      <diagonal/>
    </border>
    <border>
      <left style="thin">
        <color rgb="FF000000"/>
      </left>
      <right style="medium">
        <color indexed="64"/>
      </right>
      <top/>
      <bottom style="thin">
        <color rgb="FF000000"/>
      </bottom>
      <diagonal/>
    </border>
    <border>
      <left style="medium">
        <color indexed="64"/>
      </left>
      <right/>
      <top style="medium">
        <color indexed="64"/>
      </top>
      <bottom style="thin">
        <color rgb="FF000000"/>
      </bottom>
      <diagonal/>
    </border>
    <border>
      <left style="medium">
        <color indexed="64"/>
      </left>
      <right/>
      <top style="thin">
        <color rgb="FF000000"/>
      </top>
      <bottom style="medium">
        <color indexed="64"/>
      </bottom>
      <diagonal/>
    </border>
    <border>
      <left style="medium">
        <color indexed="64"/>
      </left>
      <right style="medium">
        <color indexed="64"/>
      </right>
      <top style="medium">
        <color indexed="64"/>
      </top>
      <bottom style="thin">
        <color rgb="FF000000"/>
      </bottom>
      <diagonal/>
    </border>
    <border>
      <left style="medium">
        <color indexed="64"/>
      </left>
      <right style="medium">
        <color indexed="64"/>
      </right>
      <top style="thin">
        <color rgb="FF000000"/>
      </top>
      <bottom style="medium">
        <color indexed="64"/>
      </bottom>
      <diagonal/>
    </border>
    <border>
      <left style="medium">
        <color indexed="64"/>
      </left>
      <right/>
      <top style="thin">
        <color rgb="FF000000"/>
      </top>
      <bottom style="thin">
        <color rgb="FF000000"/>
      </bottom>
      <diagonal/>
    </border>
    <border>
      <left style="thin">
        <color rgb="FF000000"/>
      </left>
      <right style="medium">
        <color indexed="64"/>
      </right>
      <top style="thin">
        <color rgb="FF000000"/>
      </top>
      <bottom/>
      <diagonal/>
    </border>
    <border>
      <left style="medium">
        <color indexed="64"/>
      </left>
      <right style="thin">
        <color rgb="FF000000"/>
      </right>
      <top style="thin">
        <color rgb="FF000000"/>
      </top>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thin">
        <color indexed="64"/>
      </left>
      <right style="thin">
        <color indexed="64"/>
      </right>
      <top style="medium">
        <color indexed="64"/>
      </top>
      <bottom style="thin">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thin">
        <color indexed="64"/>
      </right>
      <top/>
      <bottom/>
      <diagonal/>
    </border>
    <border>
      <left style="thin">
        <color indexed="64"/>
      </left>
      <right style="medium">
        <color indexed="64"/>
      </right>
      <top/>
      <bottom/>
      <diagonal/>
    </border>
    <border>
      <left style="medium">
        <color rgb="FF000000"/>
      </left>
      <right/>
      <top style="medium">
        <color rgb="FF000000"/>
      </top>
      <bottom style="medium">
        <color indexed="64"/>
      </bottom>
      <diagonal/>
    </border>
    <border>
      <left/>
      <right/>
      <top style="medium">
        <color rgb="FF000000"/>
      </top>
      <bottom style="medium">
        <color indexed="64"/>
      </bottom>
      <diagonal/>
    </border>
    <border>
      <left/>
      <right style="thin">
        <color rgb="FF000000"/>
      </right>
      <top style="medium">
        <color rgb="FF000000"/>
      </top>
      <bottom style="medium">
        <color indexed="64"/>
      </bottom>
      <diagonal/>
    </border>
    <border>
      <left/>
      <right style="thin">
        <color rgb="FF000000"/>
      </right>
      <top style="medium">
        <color indexed="64"/>
      </top>
      <bottom style="thin">
        <color rgb="FF000000"/>
      </bottom>
      <diagonal/>
    </border>
    <border>
      <left/>
      <right style="medium">
        <color indexed="64"/>
      </right>
      <top style="thin">
        <color rgb="FF000000"/>
      </top>
      <bottom style="thin">
        <color rgb="FF000000"/>
      </bottom>
      <diagonal/>
    </border>
    <border>
      <left/>
      <right style="thin">
        <color rgb="FF000000"/>
      </right>
      <top style="thin">
        <color rgb="FF000000"/>
      </top>
      <bottom style="medium">
        <color indexed="64"/>
      </bottom>
      <diagonal/>
    </border>
    <border>
      <left style="medium">
        <color rgb="FF000000"/>
      </left>
      <right/>
      <top style="medium">
        <color rgb="FF000000"/>
      </top>
      <bottom style="thin">
        <color rgb="FF000000"/>
      </bottom>
      <diagonal/>
    </border>
    <border>
      <left style="medium">
        <color indexed="64"/>
      </left>
      <right style="thin">
        <color rgb="FF000000"/>
      </right>
      <top style="thin">
        <color rgb="FF000000"/>
      </top>
      <bottom style="medium">
        <color rgb="FF000000"/>
      </bottom>
      <diagonal/>
    </border>
    <border>
      <left style="thin">
        <color rgb="FF000000"/>
      </left>
      <right style="medium">
        <color indexed="64"/>
      </right>
      <top style="thin">
        <color rgb="FF000000"/>
      </top>
      <bottom style="medium">
        <color rgb="FF000000"/>
      </bottom>
      <diagonal/>
    </border>
    <border>
      <left style="medium">
        <color indexed="64"/>
      </left>
      <right style="thin">
        <color rgb="FF000000"/>
      </right>
      <top/>
      <bottom/>
      <diagonal/>
    </border>
    <border>
      <left style="thin">
        <color rgb="FF000000"/>
      </left>
      <right style="medium">
        <color indexed="64"/>
      </right>
      <top/>
      <bottom/>
      <diagonal/>
    </border>
    <border>
      <left style="medium">
        <color indexed="64"/>
      </left>
      <right style="thin">
        <color rgb="FF000000"/>
      </right>
      <top style="medium">
        <color rgb="FF000000"/>
      </top>
      <bottom style="thin">
        <color rgb="FF000000"/>
      </bottom>
      <diagonal/>
    </border>
    <border>
      <left style="thin">
        <color rgb="FF000000"/>
      </left>
      <right style="medium">
        <color indexed="64"/>
      </right>
      <top style="medium">
        <color rgb="FF000000"/>
      </top>
      <bottom style="thin">
        <color rgb="FF000000"/>
      </bottom>
      <diagonal/>
    </border>
    <border>
      <left/>
      <right style="medium">
        <color rgb="FF000000"/>
      </right>
      <top style="medium">
        <color rgb="FF000000"/>
      </top>
      <bottom style="medium">
        <color indexed="64"/>
      </bottom>
      <diagonal/>
    </border>
  </borders>
  <cellStyleXfs count="5">
    <xf numFmtId="0" fontId="0" fillId="0" borderId="0"/>
    <xf numFmtId="9" fontId="1" fillId="0" borderId="0" applyFont="0" applyFill="0" applyBorder="0" applyAlignment="0" applyProtection="0"/>
    <xf numFmtId="43" fontId="1" fillId="0" borderId="0" applyFont="0" applyFill="0" applyBorder="0" applyAlignment="0" applyProtection="0"/>
    <xf numFmtId="0" fontId="22" fillId="0" borderId="0" applyNumberFormat="0" applyFill="0" applyBorder="0" applyAlignment="0" applyProtection="0"/>
    <xf numFmtId="0" fontId="35" fillId="0" borderId="0"/>
  </cellStyleXfs>
  <cellXfs count="823">
    <xf numFmtId="0" fontId="0" fillId="0" borderId="0" xfId="0"/>
    <xf numFmtId="0" fontId="2" fillId="0" borderId="0" xfId="0" applyFont="1"/>
    <xf numFmtId="0" fontId="6" fillId="0" borderId="0" xfId="0" applyFont="1"/>
    <xf numFmtId="0" fontId="7" fillId="0" borderId="0" xfId="0" applyFont="1"/>
    <xf numFmtId="0" fontId="7" fillId="0" borderId="2" xfId="0" applyFont="1" applyBorder="1"/>
    <xf numFmtId="0" fontId="11" fillId="0" borderId="0" xfId="0" applyFont="1"/>
    <xf numFmtId="0" fontId="8" fillId="0" borderId="3" xfId="0" applyFont="1" applyBorder="1"/>
    <xf numFmtId="0" fontId="8" fillId="0" borderId="4" xfId="0" applyFont="1" applyBorder="1"/>
    <xf numFmtId="0" fontId="8" fillId="0" borderId="5" xfId="0" applyFont="1" applyBorder="1"/>
    <xf numFmtId="0" fontId="8" fillId="0" borderId="6" xfId="0" applyFont="1" applyBorder="1"/>
    <xf numFmtId="0" fontId="7" fillId="0" borderId="7" xfId="0" applyFont="1" applyBorder="1"/>
    <xf numFmtId="0" fontId="7" fillId="0" borderId="6" xfId="0" applyFont="1" applyBorder="1"/>
    <xf numFmtId="0" fontId="7" fillId="0" borderId="12" xfId="0" applyFont="1" applyBorder="1"/>
    <xf numFmtId="0" fontId="8" fillId="0" borderId="15" xfId="0" applyFont="1" applyBorder="1"/>
    <xf numFmtId="0" fontId="8" fillId="0" borderId="16" xfId="0" applyFont="1" applyBorder="1"/>
    <xf numFmtId="0" fontId="8" fillId="0" borderId="17" xfId="0" applyFont="1" applyBorder="1"/>
    <xf numFmtId="0" fontId="8" fillId="0" borderId="18" xfId="0" applyFont="1" applyBorder="1"/>
    <xf numFmtId="0" fontId="7" fillId="0" borderId="19" xfId="0" applyFont="1" applyBorder="1"/>
    <xf numFmtId="0" fontId="7" fillId="0" borderId="18" xfId="0" applyFont="1" applyBorder="1"/>
    <xf numFmtId="0" fontId="9" fillId="0" borderId="18" xfId="0" applyFont="1" applyBorder="1"/>
    <xf numFmtId="0" fontId="7" fillId="0" borderId="18" xfId="0" applyFont="1" applyBorder="1" applyAlignment="1">
      <alignment wrapText="1"/>
    </xf>
    <xf numFmtId="0" fontId="7" fillId="0" borderId="18" xfId="0" quotePrefix="1" applyFont="1" applyBorder="1"/>
    <xf numFmtId="0" fontId="9" fillId="0" borderId="20" xfId="0" applyFont="1" applyBorder="1"/>
    <xf numFmtId="0" fontId="8" fillId="0" borderId="24" xfId="0" applyFont="1" applyBorder="1"/>
    <xf numFmtId="0" fontId="8" fillId="0" borderId="25" xfId="0" applyFont="1" applyBorder="1"/>
    <xf numFmtId="0" fontId="6" fillId="0" borderId="12" xfId="0" applyFont="1" applyBorder="1"/>
    <xf numFmtId="0" fontId="11" fillId="0" borderId="23" xfId="0" applyFont="1" applyBorder="1"/>
    <xf numFmtId="0" fontId="14" fillId="0" borderId="6" xfId="0" applyFont="1" applyBorder="1"/>
    <xf numFmtId="0" fontId="14" fillId="0" borderId="6" xfId="0" applyFont="1" applyBorder="1" applyAlignment="1">
      <alignment wrapText="1"/>
    </xf>
    <xf numFmtId="0" fontId="13" fillId="0" borderId="6" xfId="0" applyFont="1" applyBorder="1"/>
    <xf numFmtId="0" fontId="13" fillId="0" borderId="8" xfId="0" applyFont="1" applyBorder="1"/>
    <xf numFmtId="0" fontId="8" fillId="0" borderId="29" xfId="0" applyFont="1" applyBorder="1"/>
    <xf numFmtId="0" fontId="8" fillId="0" borderId="30" xfId="0" applyFont="1" applyBorder="1"/>
    <xf numFmtId="0" fontId="8" fillId="0" borderId="31" xfId="0" applyFont="1" applyBorder="1"/>
    <xf numFmtId="0" fontId="7" fillId="2" borderId="0" xfId="0" applyFont="1" applyFill="1"/>
    <xf numFmtId="0" fontId="8" fillId="0" borderId="0" xfId="0" applyFont="1"/>
    <xf numFmtId="0" fontId="13" fillId="0" borderId="26" xfId="0" applyFont="1" applyBorder="1"/>
    <xf numFmtId="1" fontId="13" fillId="0" borderId="27" xfId="0" applyNumberFormat="1" applyFont="1" applyBorder="1" applyAlignment="1">
      <alignment horizontal="center" vertical="center" wrapText="1"/>
    </xf>
    <xf numFmtId="1" fontId="13" fillId="0" borderId="28" xfId="0" applyNumberFormat="1" applyFont="1" applyBorder="1" applyAlignment="1">
      <alignment horizontal="center" vertical="center" wrapText="1"/>
    </xf>
    <xf numFmtId="0" fontId="7" fillId="0" borderId="23" xfId="0" applyFont="1" applyBorder="1"/>
    <xf numFmtId="0" fontId="7" fillId="0" borderId="24" xfId="0" applyFont="1" applyBorder="1"/>
    <xf numFmtId="0" fontId="8" fillId="2" borderId="0" xfId="0" applyFont="1" applyFill="1"/>
    <xf numFmtId="0" fontId="7" fillId="7" borderId="12" xfId="0" applyFont="1" applyFill="1" applyBorder="1"/>
    <xf numFmtId="10" fontId="7" fillId="7" borderId="12" xfId="0" applyNumberFormat="1" applyFont="1" applyFill="1" applyBorder="1"/>
    <xf numFmtId="9" fontId="7" fillId="7" borderId="12" xfId="0" applyNumberFormat="1" applyFont="1" applyFill="1" applyBorder="1"/>
    <xf numFmtId="0" fontId="7" fillId="4" borderId="15" xfId="0" applyFont="1" applyFill="1" applyBorder="1"/>
    <xf numFmtId="0" fontId="7" fillId="4" borderId="17" xfId="0" applyFont="1" applyFill="1" applyBorder="1"/>
    <xf numFmtId="0" fontId="7" fillId="4" borderId="18" xfId="0" applyFont="1" applyFill="1" applyBorder="1"/>
    <xf numFmtId="10" fontId="7" fillId="4" borderId="19" xfId="0" applyNumberFormat="1" applyFont="1" applyFill="1" applyBorder="1"/>
    <xf numFmtId="0" fontId="7" fillId="4" borderId="20" xfId="0" applyFont="1" applyFill="1" applyBorder="1"/>
    <xf numFmtId="10" fontId="7" fillId="4" borderId="22" xfId="0" applyNumberFormat="1" applyFont="1" applyFill="1" applyBorder="1"/>
    <xf numFmtId="0" fontId="17" fillId="0" borderId="0" xfId="0" applyFont="1"/>
    <xf numFmtId="0" fontId="7" fillId="10" borderId="12" xfId="0" applyFont="1" applyFill="1" applyBorder="1"/>
    <xf numFmtId="0" fontId="7" fillId="10" borderId="18" xfId="0" applyFont="1" applyFill="1" applyBorder="1"/>
    <xf numFmtId="43" fontId="7" fillId="10" borderId="12" xfId="0" applyNumberFormat="1" applyFont="1" applyFill="1" applyBorder="1"/>
    <xf numFmtId="43" fontId="8" fillId="10" borderId="12" xfId="0" applyNumberFormat="1" applyFont="1" applyFill="1" applyBorder="1"/>
    <xf numFmtId="0" fontId="19" fillId="0" borderId="0" xfId="0" applyFont="1"/>
    <xf numFmtId="10" fontId="7" fillId="0" borderId="0" xfId="1" applyNumberFormat="1" applyFont="1" applyFill="1" applyBorder="1"/>
    <xf numFmtId="0" fontId="7" fillId="9" borderId="0" xfId="0" applyFont="1" applyFill="1"/>
    <xf numFmtId="0" fontId="13" fillId="12" borderId="15" xfId="0" applyFont="1" applyFill="1" applyBorder="1"/>
    <xf numFmtId="0" fontId="7" fillId="12" borderId="18" xfId="0" applyFont="1" applyFill="1" applyBorder="1"/>
    <xf numFmtId="0" fontId="7" fillId="12" borderId="12" xfId="0" applyFont="1" applyFill="1" applyBorder="1"/>
    <xf numFmtId="0" fontId="7" fillId="12" borderId="19" xfId="0" applyFont="1" applyFill="1" applyBorder="1"/>
    <xf numFmtId="2" fontId="7" fillId="12" borderId="12" xfId="0" applyNumberFormat="1" applyFont="1" applyFill="1" applyBorder="1"/>
    <xf numFmtId="10" fontId="7" fillId="12" borderId="12" xfId="0" applyNumberFormat="1" applyFont="1" applyFill="1" applyBorder="1"/>
    <xf numFmtId="0" fontId="7" fillId="12" borderId="20" xfId="0" applyFont="1" applyFill="1" applyBorder="1"/>
    <xf numFmtId="0" fontId="7" fillId="12" borderId="16" xfId="0" applyFont="1" applyFill="1" applyBorder="1"/>
    <xf numFmtId="0" fontId="7" fillId="12" borderId="17" xfId="0" applyFont="1" applyFill="1" applyBorder="1"/>
    <xf numFmtId="43" fontId="7" fillId="12" borderId="12" xfId="0" applyNumberFormat="1" applyFont="1" applyFill="1" applyBorder="1"/>
    <xf numFmtId="43" fontId="7" fillId="12" borderId="19" xfId="0" applyNumberFormat="1" applyFont="1" applyFill="1" applyBorder="1"/>
    <xf numFmtId="0" fontId="7" fillId="12" borderId="21" xfId="0" applyFont="1" applyFill="1" applyBorder="1"/>
    <xf numFmtId="0" fontId="7" fillId="12" borderId="22" xfId="0" applyFont="1" applyFill="1" applyBorder="1"/>
    <xf numFmtId="0" fontId="7" fillId="12" borderId="0" xfId="0" applyFont="1" applyFill="1"/>
    <xf numFmtId="1" fontId="6" fillId="0" borderId="0" xfId="0" applyNumberFormat="1" applyFont="1"/>
    <xf numFmtId="1" fontId="7" fillId="0" borderId="0" xfId="0" applyNumberFormat="1" applyFont="1"/>
    <xf numFmtId="0" fontId="8" fillId="10" borderId="12" xfId="0" applyFont="1" applyFill="1" applyBorder="1"/>
    <xf numFmtId="0" fontId="6" fillId="10" borderId="12" xfId="0" applyFont="1" applyFill="1" applyBorder="1"/>
    <xf numFmtId="0" fontId="7" fillId="12" borderId="26" xfId="0" applyFont="1" applyFill="1" applyBorder="1"/>
    <xf numFmtId="10" fontId="7" fillId="12" borderId="27" xfId="1" applyNumberFormat="1" applyFont="1" applyFill="1" applyBorder="1"/>
    <xf numFmtId="43" fontId="7" fillId="12" borderId="46" xfId="0" applyNumberFormat="1" applyFont="1" applyFill="1" applyBorder="1"/>
    <xf numFmtId="43" fontId="7" fillId="12" borderId="47" xfId="0" applyNumberFormat="1" applyFont="1" applyFill="1" applyBorder="1"/>
    <xf numFmtId="0" fontId="7" fillId="12" borderId="48" xfId="0" applyFont="1" applyFill="1" applyBorder="1"/>
    <xf numFmtId="0" fontId="7" fillId="12" borderId="46" xfId="0" applyFont="1" applyFill="1" applyBorder="1"/>
    <xf numFmtId="0" fontId="7" fillId="12" borderId="43" xfId="0" applyFont="1" applyFill="1" applyBorder="1"/>
    <xf numFmtId="0" fontId="7" fillId="12" borderId="15" xfId="0" applyFont="1" applyFill="1" applyBorder="1"/>
    <xf numFmtId="0" fontId="7" fillId="12" borderId="27" xfId="0" applyFont="1" applyFill="1" applyBorder="1"/>
    <xf numFmtId="0" fontId="7" fillId="12" borderId="28" xfId="0" applyFont="1" applyFill="1" applyBorder="1"/>
    <xf numFmtId="0" fontId="7" fillId="0" borderId="14" xfId="0" applyFont="1" applyBorder="1"/>
    <xf numFmtId="43" fontId="7" fillId="0" borderId="14" xfId="0" applyNumberFormat="1" applyFont="1" applyBorder="1"/>
    <xf numFmtId="43" fontId="7" fillId="12" borderId="21" xfId="0" applyNumberFormat="1" applyFont="1" applyFill="1" applyBorder="1"/>
    <xf numFmtId="43" fontId="7" fillId="12" borderId="22" xfId="0" applyNumberFormat="1" applyFont="1" applyFill="1" applyBorder="1"/>
    <xf numFmtId="0" fontId="8" fillId="12" borderId="12" xfId="0" applyFont="1" applyFill="1" applyBorder="1"/>
    <xf numFmtId="0" fontId="8" fillId="12" borderId="18" xfId="0" applyFont="1" applyFill="1" applyBorder="1" applyAlignment="1">
      <alignment wrapText="1"/>
    </xf>
    <xf numFmtId="0" fontId="8" fillId="12" borderId="18" xfId="0" applyFont="1" applyFill="1" applyBorder="1"/>
    <xf numFmtId="43" fontId="8" fillId="12" borderId="12" xfId="0" applyNumberFormat="1" applyFont="1" applyFill="1" applyBorder="1"/>
    <xf numFmtId="43" fontId="8" fillId="12" borderId="19" xfId="0" applyNumberFormat="1" applyFont="1" applyFill="1" applyBorder="1"/>
    <xf numFmtId="0" fontId="7" fillId="12" borderId="18" xfId="0" applyFont="1" applyFill="1" applyBorder="1" applyAlignment="1">
      <alignment wrapText="1"/>
    </xf>
    <xf numFmtId="0" fontId="8" fillId="12" borderId="20" xfId="0" applyFont="1" applyFill="1" applyBorder="1" applyAlignment="1">
      <alignment wrapText="1"/>
    </xf>
    <xf numFmtId="43" fontId="8" fillId="12" borderId="21" xfId="0" applyNumberFormat="1" applyFont="1" applyFill="1" applyBorder="1"/>
    <xf numFmtId="43" fontId="8" fillId="12" borderId="22" xfId="0" applyNumberFormat="1" applyFont="1" applyFill="1" applyBorder="1"/>
    <xf numFmtId="0" fontId="7" fillId="0" borderId="37" xfId="0" applyFont="1" applyBorder="1"/>
    <xf numFmtId="0" fontId="7" fillId="0" borderId="49" xfId="0" applyFont="1" applyBorder="1"/>
    <xf numFmtId="0" fontId="7" fillId="0" borderId="53" xfId="0" applyFont="1" applyBorder="1"/>
    <xf numFmtId="43" fontId="7" fillId="0" borderId="54" xfId="0" applyNumberFormat="1" applyFont="1" applyBorder="1"/>
    <xf numFmtId="0" fontId="7" fillId="0" borderId="55" xfId="0" applyFont="1" applyBorder="1"/>
    <xf numFmtId="0" fontId="7" fillId="0" borderId="56" xfId="0" applyFont="1" applyBorder="1"/>
    <xf numFmtId="0" fontId="7" fillId="0" borderId="38" xfId="0" applyFont="1" applyBorder="1"/>
    <xf numFmtId="0" fontId="7" fillId="0" borderId="39" xfId="0" applyFont="1" applyBorder="1"/>
    <xf numFmtId="0" fontId="7" fillId="0" borderId="50" xfId="0" applyFont="1" applyBorder="1"/>
    <xf numFmtId="2" fontId="7" fillId="12" borderId="12" xfId="1" applyNumberFormat="1" applyFont="1" applyFill="1" applyBorder="1"/>
    <xf numFmtId="0" fontId="7" fillId="0" borderId="35" xfId="0" applyFont="1" applyBorder="1"/>
    <xf numFmtId="0" fontId="7" fillId="0" borderId="36" xfId="0" applyFont="1" applyBorder="1"/>
    <xf numFmtId="0" fontId="8" fillId="12" borderId="15" xfId="0" applyFont="1" applyFill="1" applyBorder="1"/>
    <xf numFmtId="0" fontId="17" fillId="0" borderId="36" xfId="0" applyFont="1" applyBorder="1"/>
    <xf numFmtId="0" fontId="17" fillId="0" borderId="35" xfId="0" applyFont="1" applyBorder="1"/>
    <xf numFmtId="0" fontId="17" fillId="0" borderId="37" xfId="0" applyFont="1" applyBorder="1"/>
    <xf numFmtId="0" fontId="7" fillId="10" borderId="20" xfId="0" applyFont="1" applyFill="1" applyBorder="1"/>
    <xf numFmtId="10" fontId="7" fillId="10" borderId="21" xfId="0" applyNumberFormat="1" applyFont="1" applyFill="1" applyBorder="1"/>
    <xf numFmtId="0" fontId="7" fillId="10" borderId="19" xfId="0" applyFont="1" applyFill="1" applyBorder="1"/>
    <xf numFmtId="0" fontId="7" fillId="10" borderId="21" xfId="0" applyFont="1" applyFill="1" applyBorder="1"/>
    <xf numFmtId="0" fontId="7" fillId="10" borderId="22" xfId="0" applyFont="1" applyFill="1" applyBorder="1"/>
    <xf numFmtId="0" fontId="8" fillId="6" borderId="12" xfId="0" applyFont="1" applyFill="1" applyBorder="1"/>
    <xf numFmtId="10" fontId="8" fillId="6" borderId="21" xfId="0" applyNumberFormat="1" applyFont="1" applyFill="1" applyBorder="1"/>
    <xf numFmtId="0" fontId="8" fillId="0" borderId="39" xfId="0" applyFont="1" applyBorder="1"/>
    <xf numFmtId="10" fontId="8" fillId="6" borderId="12" xfId="0" applyNumberFormat="1" applyFont="1" applyFill="1" applyBorder="1"/>
    <xf numFmtId="0" fontId="8" fillId="0" borderId="14" xfId="0" applyFont="1" applyBorder="1"/>
    <xf numFmtId="0" fontId="8" fillId="6" borderId="46" xfId="0" applyFont="1" applyFill="1" applyBorder="1"/>
    <xf numFmtId="0" fontId="8" fillId="6" borderId="16" xfId="0" applyFont="1" applyFill="1" applyBorder="1"/>
    <xf numFmtId="0" fontId="8" fillId="6" borderId="21" xfId="0" applyFont="1" applyFill="1" applyBorder="1"/>
    <xf numFmtId="0" fontId="8" fillId="6" borderId="27" xfId="0" applyFont="1" applyFill="1" applyBorder="1"/>
    <xf numFmtId="0" fontId="8" fillId="0" borderId="36" xfId="0" applyFont="1" applyBorder="1"/>
    <xf numFmtId="0" fontId="8" fillId="6" borderId="12" xfId="0" applyFont="1" applyFill="1" applyBorder="1" applyAlignment="1">
      <alignment wrapText="1"/>
    </xf>
    <xf numFmtId="0" fontId="20" fillId="0" borderId="0" xfId="0" applyFont="1"/>
    <xf numFmtId="43" fontId="6" fillId="0" borderId="0" xfId="0" applyNumberFormat="1" applyFont="1"/>
    <xf numFmtId="0" fontId="6" fillId="12" borderId="12" xfId="0" applyFont="1" applyFill="1" applyBorder="1"/>
    <xf numFmtId="0" fontId="6" fillId="12" borderId="19" xfId="0" applyFont="1" applyFill="1" applyBorder="1"/>
    <xf numFmtId="0" fontId="21" fillId="11" borderId="23" xfId="0" applyFont="1" applyFill="1" applyBorder="1"/>
    <xf numFmtId="0" fontId="21" fillId="11" borderId="24" xfId="0" applyFont="1" applyFill="1" applyBorder="1"/>
    <xf numFmtId="0" fontId="21" fillId="11" borderId="25" xfId="0" applyFont="1" applyFill="1" applyBorder="1"/>
    <xf numFmtId="43" fontId="4" fillId="15" borderId="12" xfId="0" applyNumberFormat="1" applyFont="1" applyFill="1" applyBorder="1"/>
    <xf numFmtId="43" fontId="5" fillId="15" borderId="12" xfId="0" applyNumberFormat="1" applyFont="1" applyFill="1" applyBorder="1"/>
    <xf numFmtId="43" fontId="4" fillId="15" borderId="45" xfId="0" applyNumberFormat="1" applyFont="1" applyFill="1" applyBorder="1"/>
    <xf numFmtId="43" fontId="5" fillId="15" borderId="45" xfId="0" applyNumberFormat="1" applyFont="1" applyFill="1" applyBorder="1"/>
    <xf numFmtId="0" fontId="26" fillId="17" borderId="60" xfId="0" applyFont="1" applyFill="1" applyBorder="1" applyAlignment="1">
      <alignment wrapText="1"/>
    </xf>
    <xf numFmtId="0" fontId="26" fillId="17" borderId="62" xfId="0" applyFont="1" applyFill="1" applyBorder="1" applyAlignment="1">
      <alignment wrapText="1"/>
    </xf>
    <xf numFmtId="0" fontId="26" fillId="17" borderId="62" xfId="0" applyFont="1" applyFill="1" applyBorder="1"/>
    <xf numFmtId="0" fontId="26" fillId="17" borderId="63" xfId="0" applyFont="1" applyFill="1" applyBorder="1" applyAlignment="1">
      <alignment wrapText="1"/>
    </xf>
    <xf numFmtId="0" fontId="27" fillId="18" borderId="2" xfId="0" applyFont="1" applyFill="1" applyBorder="1" applyAlignment="1">
      <alignment wrapText="1"/>
    </xf>
    <xf numFmtId="0" fontId="22" fillId="18" borderId="2" xfId="3" applyFill="1" applyBorder="1" applyAlignment="1">
      <alignment wrapText="1"/>
    </xf>
    <xf numFmtId="0" fontId="22" fillId="19" borderId="2" xfId="3" applyFill="1" applyBorder="1" applyAlignment="1">
      <alignment wrapText="1"/>
    </xf>
    <xf numFmtId="0" fontId="27" fillId="19" borderId="67" xfId="0" applyFont="1" applyFill="1" applyBorder="1" applyAlignment="1">
      <alignment wrapText="1"/>
    </xf>
    <xf numFmtId="0" fontId="22" fillId="18" borderId="67" xfId="3" applyFill="1" applyBorder="1" applyAlignment="1">
      <alignment wrapText="1"/>
    </xf>
    <xf numFmtId="0" fontId="28" fillId="18" borderId="2" xfId="0" applyFont="1" applyFill="1" applyBorder="1" applyAlignment="1">
      <alignment wrapText="1"/>
    </xf>
    <xf numFmtId="0" fontId="29" fillId="18" borderId="2" xfId="0" applyFont="1" applyFill="1" applyBorder="1" applyAlignment="1">
      <alignment wrapText="1"/>
    </xf>
    <xf numFmtId="0" fontId="27" fillId="18" borderId="67" xfId="0" applyFont="1" applyFill="1" applyBorder="1" applyAlignment="1">
      <alignment wrapText="1"/>
    </xf>
    <xf numFmtId="0" fontId="6" fillId="0" borderId="12" xfId="0" applyFont="1" applyBorder="1" applyAlignment="1">
      <alignment wrapText="1"/>
    </xf>
    <xf numFmtId="10" fontId="6" fillId="0" borderId="12" xfId="0" applyNumberFormat="1" applyFont="1" applyBorder="1"/>
    <xf numFmtId="0" fontId="6" fillId="3" borderId="0" xfId="0" applyFont="1" applyFill="1"/>
    <xf numFmtId="0" fontId="6" fillId="2" borderId="1" xfId="0" applyFont="1" applyFill="1" applyBorder="1"/>
    <xf numFmtId="43" fontId="6" fillId="2" borderId="1" xfId="0" applyNumberFormat="1" applyFont="1" applyFill="1" applyBorder="1"/>
    <xf numFmtId="0" fontId="22" fillId="0" borderId="0" xfId="3" applyFill="1"/>
    <xf numFmtId="0" fontId="31" fillId="0" borderId="0" xfId="0" applyFont="1"/>
    <xf numFmtId="2" fontId="6" fillId="2" borderId="1" xfId="0" applyNumberFormat="1" applyFont="1" applyFill="1" applyBorder="1"/>
    <xf numFmtId="0" fontId="16" fillId="0" borderId="0" xfId="0" applyFont="1"/>
    <xf numFmtId="0" fontId="32" fillId="0" borderId="0" xfId="0" applyFont="1"/>
    <xf numFmtId="0" fontId="33" fillId="22" borderId="0" xfId="0" applyFont="1" applyFill="1"/>
    <xf numFmtId="0" fontId="8" fillId="10" borderId="15" xfId="0" applyFont="1" applyFill="1" applyBorder="1"/>
    <xf numFmtId="9" fontId="6" fillId="0" borderId="0" xfId="1" applyFont="1"/>
    <xf numFmtId="9" fontId="6" fillId="0" borderId="0" xfId="0" applyNumberFormat="1" applyFont="1"/>
    <xf numFmtId="0" fontId="34" fillId="23" borderId="0" xfId="0" applyFont="1" applyFill="1"/>
    <xf numFmtId="0" fontId="8" fillId="10" borderId="26" xfId="0" applyFont="1" applyFill="1" applyBorder="1"/>
    <xf numFmtId="0" fontId="7" fillId="7" borderId="12" xfId="0" applyFont="1" applyFill="1" applyBorder="1" applyAlignment="1">
      <alignment horizontal="center"/>
    </xf>
    <xf numFmtId="0" fontId="7" fillId="18" borderId="64" xfId="0" applyFont="1" applyFill="1" applyBorder="1" applyAlignment="1">
      <alignment wrapText="1"/>
    </xf>
    <xf numFmtId="0" fontId="7" fillId="18" borderId="2" xfId="0" applyFont="1" applyFill="1" applyBorder="1" applyAlignment="1">
      <alignment wrapText="1"/>
    </xf>
    <xf numFmtId="0" fontId="7" fillId="18" borderId="2" xfId="0" quotePrefix="1" applyFont="1" applyFill="1" applyBorder="1" applyAlignment="1">
      <alignment wrapText="1"/>
    </xf>
    <xf numFmtId="0" fontId="7" fillId="18" borderId="65" xfId="0" applyFont="1" applyFill="1" applyBorder="1" applyAlignment="1">
      <alignment wrapText="1"/>
    </xf>
    <xf numFmtId="0" fontId="7" fillId="19" borderId="2" xfId="0" applyFont="1" applyFill="1" applyBorder="1" applyAlignment="1">
      <alignment wrapText="1"/>
    </xf>
    <xf numFmtId="16" fontId="7" fillId="19" borderId="2" xfId="0" applyNumberFormat="1" applyFont="1" applyFill="1" applyBorder="1" applyAlignment="1">
      <alignment wrapText="1"/>
    </xf>
    <xf numFmtId="0" fontId="7" fillId="19" borderId="2" xfId="0" quotePrefix="1" applyFont="1" applyFill="1" applyBorder="1" applyAlignment="1">
      <alignment wrapText="1"/>
    </xf>
    <xf numFmtId="0" fontId="7" fillId="20" borderId="2" xfId="0" applyFont="1" applyFill="1" applyBorder="1" applyAlignment="1">
      <alignment wrapText="1"/>
    </xf>
    <xf numFmtId="0" fontId="7" fillId="20" borderId="65" xfId="0" applyFont="1" applyFill="1" applyBorder="1" applyAlignment="1">
      <alignment wrapText="1"/>
    </xf>
    <xf numFmtId="0" fontId="7" fillId="18" borderId="66" xfId="0" applyFont="1" applyFill="1" applyBorder="1" applyAlignment="1">
      <alignment wrapText="1"/>
    </xf>
    <xf numFmtId="0" fontId="7" fillId="19" borderId="67" xfId="0" applyFont="1" applyFill="1" applyBorder="1" applyAlignment="1">
      <alignment wrapText="1"/>
    </xf>
    <xf numFmtId="0" fontId="7" fillId="19" borderId="67" xfId="0" quotePrefix="1" applyFont="1" applyFill="1" applyBorder="1" applyAlignment="1">
      <alignment wrapText="1"/>
    </xf>
    <xf numFmtId="0" fontId="7" fillId="20" borderId="67" xfId="0" applyFont="1" applyFill="1" applyBorder="1" applyAlignment="1">
      <alignment wrapText="1"/>
    </xf>
    <xf numFmtId="0" fontId="7" fillId="20" borderId="68" xfId="0" applyFont="1" applyFill="1" applyBorder="1" applyAlignment="1">
      <alignment wrapText="1"/>
    </xf>
    <xf numFmtId="0" fontId="7" fillId="18" borderId="67" xfId="0" applyFont="1" applyFill="1" applyBorder="1" applyAlignment="1">
      <alignment wrapText="1"/>
    </xf>
    <xf numFmtId="0" fontId="7" fillId="18" borderId="67" xfId="0" quotePrefix="1" applyFont="1" applyFill="1" applyBorder="1" applyAlignment="1">
      <alignment wrapText="1"/>
    </xf>
    <xf numFmtId="0" fontId="7" fillId="18" borderId="68" xfId="0" applyFont="1" applyFill="1" applyBorder="1" applyAlignment="1">
      <alignment wrapText="1"/>
    </xf>
    <xf numFmtId="0" fontId="7" fillId="10" borderId="16" xfId="0" applyFont="1" applyFill="1" applyBorder="1"/>
    <xf numFmtId="0" fontId="7" fillId="10" borderId="17" xfId="0" applyFont="1" applyFill="1" applyBorder="1"/>
    <xf numFmtId="166" fontId="8" fillId="10" borderId="12" xfId="0" applyNumberFormat="1" applyFont="1" applyFill="1" applyBorder="1"/>
    <xf numFmtId="165" fontId="7" fillId="10" borderId="12" xfId="0" applyNumberFormat="1" applyFont="1" applyFill="1" applyBorder="1"/>
    <xf numFmtId="165" fontId="8" fillId="6" borderId="12" xfId="0" applyNumberFormat="1" applyFont="1" applyFill="1" applyBorder="1"/>
    <xf numFmtId="165" fontId="7" fillId="10" borderId="12" xfId="1" applyNumberFormat="1" applyFont="1" applyFill="1" applyBorder="1"/>
    <xf numFmtId="10" fontId="8" fillId="6" borderId="12" xfId="1" applyNumberFormat="1" applyFont="1" applyFill="1" applyBorder="1"/>
    <xf numFmtId="165" fontId="8" fillId="6" borderId="12" xfId="1" applyNumberFormat="1" applyFont="1" applyFill="1" applyBorder="1"/>
    <xf numFmtId="10" fontId="7" fillId="10" borderId="12" xfId="0" applyNumberFormat="1" applyFont="1" applyFill="1" applyBorder="1"/>
    <xf numFmtId="10" fontId="7" fillId="10" borderId="12" xfId="1" applyNumberFormat="1" applyFont="1" applyFill="1" applyBorder="1"/>
    <xf numFmtId="0" fontId="8" fillId="0" borderId="23" xfId="0" applyFont="1" applyBorder="1"/>
    <xf numFmtId="43" fontId="8" fillId="0" borderId="24" xfId="0" applyNumberFormat="1" applyFont="1" applyBorder="1"/>
    <xf numFmtId="9" fontId="8" fillId="0" borderId="24" xfId="0" applyNumberFormat="1" applyFont="1" applyBorder="1"/>
    <xf numFmtId="43" fontId="8" fillId="0" borderId="25" xfId="0" applyNumberFormat="1" applyFont="1" applyBorder="1"/>
    <xf numFmtId="0" fontId="8" fillId="10" borderId="27" xfId="0" applyFont="1" applyFill="1" applyBorder="1"/>
    <xf numFmtId="10" fontId="8" fillId="10" borderId="27" xfId="0" applyNumberFormat="1" applyFont="1" applyFill="1" applyBorder="1"/>
    <xf numFmtId="10" fontId="8" fillId="6" borderId="27" xfId="0" applyNumberFormat="1" applyFont="1" applyFill="1" applyBorder="1"/>
    <xf numFmtId="0" fontId="7" fillId="10" borderId="27" xfId="0" applyFont="1" applyFill="1" applyBorder="1"/>
    <xf numFmtId="0" fontId="7" fillId="10" borderId="28" xfId="0" applyFont="1" applyFill="1" applyBorder="1"/>
    <xf numFmtId="0" fontId="8" fillId="0" borderId="38" xfId="0" applyFont="1" applyBorder="1"/>
    <xf numFmtId="10" fontId="8" fillId="0" borderId="39" xfId="0" applyNumberFormat="1" applyFont="1" applyBorder="1"/>
    <xf numFmtId="0" fontId="7" fillId="0" borderId="40" xfId="0" applyFont="1" applyBorder="1"/>
    <xf numFmtId="9" fontId="7" fillId="10" borderId="12" xfId="0" applyNumberFormat="1" applyFont="1" applyFill="1" applyBorder="1"/>
    <xf numFmtId="2" fontId="8" fillId="6" borderId="12" xfId="0" applyNumberFormat="1" applyFont="1" applyFill="1" applyBorder="1"/>
    <xf numFmtId="0" fontId="8" fillId="0" borderId="35" xfId="0" applyFont="1" applyBorder="1"/>
    <xf numFmtId="10" fontId="7" fillId="0" borderId="36" xfId="0" applyNumberFormat="1" applyFont="1" applyBorder="1"/>
    <xf numFmtId="10" fontId="8" fillId="0" borderId="36" xfId="0" applyNumberFormat="1" applyFont="1" applyBorder="1"/>
    <xf numFmtId="10" fontId="7" fillId="0" borderId="36" xfId="1" applyNumberFormat="1" applyFont="1" applyFill="1" applyBorder="1"/>
    <xf numFmtId="10" fontId="8" fillId="0" borderId="36" xfId="1" applyNumberFormat="1" applyFont="1" applyFill="1" applyBorder="1"/>
    <xf numFmtId="0" fontId="7" fillId="10" borderId="26" xfId="0" applyFont="1" applyFill="1" applyBorder="1"/>
    <xf numFmtId="10" fontId="7" fillId="10" borderId="27" xfId="1" applyNumberFormat="1" applyFont="1" applyFill="1" applyBorder="1"/>
    <xf numFmtId="10" fontId="8" fillId="6" borderId="27" xfId="1" applyNumberFormat="1" applyFont="1" applyFill="1" applyBorder="1"/>
    <xf numFmtId="0" fontId="7" fillId="10" borderId="26" xfId="0" applyFont="1" applyFill="1" applyBorder="1" applyAlignment="1">
      <alignment wrapText="1"/>
    </xf>
    <xf numFmtId="10" fontId="7" fillId="10" borderId="27" xfId="0" applyNumberFormat="1" applyFont="1" applyFill="1" applyBorder="1"/>
    <xf numFmtId="0" fontId="7" fillId="0" borderId="35" xfId="0" applyFont="1" applyBorder="1" applyAlignment="1">
      <alignment wrapText="1"/>
    </xf>
    <xf numFmtId="2" fontId="7" fillId="0" borderId="36" xfId="0" applyNumberFormat="1" applyFont="1" applyBorder="1"/>
    <xf numFmtId="2" fontId="7" fillId="10" borderId="27" xfId="0" applyNumberFormat="1" applyFont="1" applyFill="1" applyBorder="1"/>
    <xf numFmtId="43" fontId="7" fillId="10" borderId="27" xfId="0" applyNumberFormat="1" applyFont="1" applyFill="1" applyBorder="1"/>
    <xf numFmtId="43" fontId="7" fillId="0" borderId="36" xfId="0" applyNumberFormat="1" applyFont="1" applyBorder="1"/>
    <xf numFmtId="0" fontId="7" fillId="10" borderId="20" xfId="0" quotePrefix="1" applyFont="1" applyFill="1" applyBorder="1"/>
    <xf numFmtId="2" fontId="8" fillId="6" borderId="21" xfId="0" applyNumberFormat="1" applyFont="1" applyFill="1" applyBorder="1"/>
    <xf numFmtId="0" fontId="7" fillId="0" borderId="35" xfId="0" quotePrefix="1" applyFont="1" applyBorder="1"/>
    <xf numFmtId="2" fontId="8" fillId="0" borderId="36" xfId="0" applyNumberFormat="1" applyFont="1" applyBorder="1"/>
    <xf numFmtId="0" fontId="7" fillId="0" borderId="58" xfId="0" applyFont="1" applyBorder="1"/>
    <xf numFmtId="0" fontId="7" fillId="10" borderId="15" xfId="0" applyFont="1" applyFill="1" applyBorder="1"/>
    <xf numFmtId="43" fontId="7" fillId="10" borderId="16" xfId="0" applyNumberFormat="1" applyFont="1" applyFill="1" applyBorder="1"/>
    <xf numFmtId="0" fontId="7" fillId="0" borderId="51" xfId="0" applyFont="1" applyBorder="1"/>
    <xf numFmtId="0" fontId="7" fillId="0" borderId="13" xfId="0" applyFont="1" applyBorder="1"/>
    <xf numFmtId="0" fontId="8" fillId="0" borderId="13" xfId="0" applyFont="1" applyBorder="1"/>
    <xf numFmtId="0" fontId="7" fillId="0" borderId="52" xfId="0" applyFont="1" applyBorder="1"/>
    <xf numFmtId="10" fontId="8" fillId="0" borderId="0" xfId="0" applyNumberFormat="1" applyFont="1"/>
    <xf numFmtId="2" fontId="8" fillId="6" borderId="12" xfId="1" applyNumberFormat="1" applyFont="1" applyFill="1" applyBorder="1"/>
    <xf numFmtId="0" fontId="21" fillId="0" borderId="36" xfId="0" applyFont="1" applyBorder="1"/>
    <xf numFmtId="10" fontId="7" fillId="10" borderId="39" xfId="0" applyNumberFormat="1" applyFont="1" applyFill="1" applyBorder="1"/>
    <xf numFmtId="10" fontId="8" fillId="6" borderId="39" xfId="0" applyNumberFormat="1" applyFont="1" applyFill="1" applyBorder="1"/>
    <xf numFmtId="0" fontId="8" fillId="6" borderId="39" xfId="0" applyFont="1" applyFill="1" applyBorder="1"/>
    <xf numFmtId="0" fontId="7" fillId="10" borderId="39" xfId="0" applyFont="1" applyFill="1" applyBorder="1"/>
    <xf numFmtId="0" fontId="8" fillId="6" borderId="1" xfId="0" applyFont="1" applyFill="1" applyBorder="1"/>
    <xf numFmtId="165" fontId="6" fillId="2" borderId="1" xfId="1" applyNumberFormat="1" applyFont="1" applyFill="1" applyBorder="1"/>
    <xf numFmtId="0" fontId="6" fillId="0" borderId="12" xfId="0" applyFont="1" applyBorder="1" applyAlignment="1">
      <alignment vertical="center" wrapText="1"/>
    </xf>
    <xf numFmtId="0" fontId="6" fillId="0" borderId="80" xfId="0" applyFont="1" applyBorder="1"/>
    <xf numFmtId="0" fontId="6" fillId="0" borderId="81" xfId="0" applyFont="1" applyBorder="1" applyAlignment="1">
      <alignment wrapText="1"/>
    </xf>
    <xf numFmtId="10" fontId="6" fillId="0" borderId="82" xfId="0" applyNumberFormat="1" applyFont="1" applyBorder="1"/>
    <xf numFmtId="0" fontId="6" fillId="0" borderId="83" xfId="0" applyFont="1" applyBorder="1"/>
    <xf numFmtId="10" fontId="6" fillId="0" borderId="73" xfId="0" applyNumberFormat="1" applyFont="1" applyBorder="1"/>
    <xf numFmtId="0" fontId="6" fillId="0" borderId="73" xfId="0" applyFont="1" applyBorder="1"/>
    <xf numFmtId="0" fontId="6" fillId="0" borderId="83" xfId="0" applyFont="1" applyBorder="1" applyAlignment="1">
      <alignment vertical="center"/>
    </xf>
    <xf numFmtId="0" fontId="6" fillId="0" borderId="73" xfId="0" applyFont="1" applyBorder="1" applyAlignment="1">
      <alignment wrapText="1"/>
    </xf>
    <xf numFmtId="10" fontId="6" fillId="0" borderId="73" xfId="0" applyNumberFormat="1" applyFont="1" applyBorder="1" applyAlignment="1">
      <alignment wrapText="1"/>
    </xf>
    <xf numFmtId="0" fontId="6" fillId="0" borderId="84" xfId="0" applyFont="1" applyBorder="1" applyAlignment="1">
      <alignment vertical="center"/>
    </xf>
    <xf numFmtId="0" fontId="6" fillId="0" borderId="85" xfId="0" applyFont="1" applyBorder="1" applyAlignment="1">
      <alignment vertical="center" wrapText="1"/>
    </xf>
    <xf numFmtId="10" fontId="6" fillId="0" borderId="86" xfId="0" applyNumberFormat="1" applyFont="1" applyBorder="1" applyAlignment="1">
      <alignment wrapText="1"/>
    </xf>
    <xf numFmtId="43" fontId="6" fillId="2" borderId="11" xfId="0" applyNumberFormat="1" applyFont="1" applyFill="1" applyBorder="1"/>
    <xf numFmtId="0" fontId="6" fillId="0" borderId="39" xfId="0" applyFont="1" applyBorder="1"/>
    <xf numFmtId="164" fontId="8" fillId="6" borderId="12" xfId="0" applyNumberFormat="1" applyFont="1" applyFill="1" applyBorder="1"/>
    <xf numFmtId="9" fontId="7" fillId="0" borderId="0" xfId="0" applyNumberFormat="1" applyFont="1"/>
    <xf numFmtId="9" fontId="37" fillId="6" borderId="12" xfId="0" applyNumberFormat="1" applyFont="1" applyFill="1" applyBorder="1"/>
    <xf numFmtId="165" fontId="7" fillId="12" borderId="12" xfId="1" applyNumberFormat="1" applyFont="1" applyFill="1" applyBorder="1"/>
    <xf numFmtId="10" fontId="7" fillId="12" borderId="12" xfId="1" applyNumberFormat="1" applyFont="1" applyFill="1" applyBorder="1"/>
    <xf numFmtId="170" fontId="7" fillId="12" borderId="21" xfId="0" applyNumberFormat="1" applyFont="1" applyFill="1" applyBorder="1"/>
    <xf numFmtId="170" fontId="8" fillId="6" borderId="21" xfId="0" applyNumberFormat="1" applyFont="1" applyFill="1" applyBorder="1"/>
    <xf numFmtId="9" fontId="7" fillId="12" borderId="21" xfId="0" applyNumberFormat="1" applyFont="1" applyFill="1" applyBorder="1"/>
    <xf numFmtId="171" fontId="7" fillId="12" borderId="12" xfId="0" applyNumberFormat="1" applyFont="1" applyFill="1" applyBorder="1"/>
    <xf numFmtId="0" fontId="38" fillId="0" borderId="0" xfId="0" applyFont="1"/>
    <xf numFmtId="10" fontId="7" fillId="0" borderId="0" xfId="0" applyNumberFormat="1" applyFont="1"/>
    <xf numFmtId="43" fontId="6" fillId="12" borderId="1" xfId="0" applyNumberFormat="1" applyFont="1" applyFill="1" applyBorder="1"/>
    <xf numFmtId="0" fontId="6" fillId="0" borderId="12" xfId="0" applyFont="1" applyBorder="1" applyAlignment="1">
      <alignment horizontal="left"/>
    </xf>
    <xf numFmtId="0" fontId="7" fillId="12" borderId="15" xfId="0" applyFont="1" applyFill="1" applyBorder="1" applyAlignment="1">
      <alignment horizontal="left"/>
    </xf>
    <xf numFmtId="0" fontId="7" fillId="12" borderId="18" xfId="0" applyFont="1" applyFill="1" applyBorder="1" applyAlignment="1">
      <alignment horizontal="left"/>
    </xf>
    <xf numFmtId="0" fontId="7" fillId="12" borderId="20" xfId="0" applyFont="1" applyFill="1" applyBorder="1" applyAlignment="1">
      <alignment horizontal="left"/>
    </xf>
    <xf numFmtId="0" fontId="6" fillId="12" borderId="1" xfId="0" applyFont="1" applyFill="1" applyBorder="1"/>
    <xf numFmtId="0" fontId="11" fillId="6" borderId="1" xfId="0" applyFont="1" applyFill="1" applyBorder="1"/>
    <xf numFmtId="43" fontId="11" fillId="6" borderId="1" xfId="0" applyNumberFormat="1" applyFont="1" applyFill="1" applyBorder="1"/>
    <xf numFmtId="0" fontId="6" fillId="0" borderId="1" xfId="0" applyFont="1" applyBorder="1"/>
    <xf numFmtId="0" fontId="7" fillId="12" borderId="1" xfId="0" applyFont="1" applyFill="1" applyBorder="1"/>
    <xf numFmtId="43" fontId="7" fillId="12" borderId="1" xfId="0" applyNumberFormat="1" applyFont="1" applyFill="1" applyBorder="1"/>
    <xf numFmtId="0" fontId="7" fillId="12" borderId="12" xfId="0" applyFont="1" applyFill="1" applyBorder="1" applyAlignment="1">
      <alignment horizontal="center"/>
    </xf>
    <xf numFmtId="0" fontId="8" fillId="6" borderId="12" xfId="0" applyFont="1" applyFill="1" applyBorder="1" applyAlignment="1">
      <alignment horizontal="center"/>
    </xf>
    <xf numFmtId="0" fontId="7" fillId="12" borderId="19" xfId="0" applyFont="1" applyFill="1" applyBorder="1" applyAlignment="1">
      <alignment horizontal="center"/>
    </xf>
    <xf numFmtId="2" fontId="6" fillId="2" borderId="1" xfId="0" applyNumberFormat="1" applyFont="1" applyFill="1" applyBorder="1" applyAlignment="1">
      <alignment wrapText="1"/>
    </xf>
    <xf numFmtId="2" fontId="6" fillId="2" borderId="12" xfId="0" applyNumberFormat="1" applyFont="1" applyFill="1" applyBorder="1"/>
    <xf numFmtId="10" fontId="6" fillId="0" borderId="39" xfId="0" applyNumberFormat="1" applyFont="1" applyBorder="1"/>
    <xf numFmtId="0" fontId="6" fillId="0" borderId="1" xfId="0" applyFont="1" applyBorder="1" applyAlignment="1">
      <alignment wrapText="1"/>
    </xf>
    <xf numFmtId="0" fontId="39" fillId="0" borderId="0" xfId="0" applyFont="1" applyAlignment="1">
      <alignment horizontal="left" vertical="center" wrapText="1"/>
    </xf>
    <xf numFmtId="169" fontId="6" fillId="0" borderId="12" xfId="0" applyNumberFormat="1" applyFont="1" applyBorder="1"/>
    <xf numFmtId="169" fontId="6" fillId="0" borderId="39" xfId="0" applyNumberFormat="1" applyFont="1" applyBorder="1"/>
    <xf numFmtId="10" fontId="6" fillId="0" borderId="39" xfId="1" applyNumberFormat="1" applyFont="1" applyBorder="1"/>
    <xf numFmtId="169" fontId="11" fillId="0" borderId="12" xfId="0" applyNumberFormat="1" applyFont="1" applyBorder="1"/>
    <xf numFmtId="0" fontId="6" fillId="0" borderId="23" xfId="0" applyFont="1" applyBorder="1"/>
    <xf numFmtId="0" fontId="6" fillId="0" borderId="18" xfId="0" applyFont="1" applyBorder="1"/>
    <xf numFmtId="43" fontId="6" fillId="0" borderId="12" xfId="0" applyNumberFormat="1" applyFont="1" applyBorder="1"/>
    <xf numFmtId="2" fontId="6" fillId="0" borderId="12" xfId="0" applyNumberFormat="1" applyFont="1" applyBorder="1"/>
    <xf numFmtId="2" fontId="6" fillId="0" borderId="19" xfId="0" applyNumberFormat="1" applyFont="1" applyBorder="1"/>
    <xf numFmtId="10" fontId="6" fillId="0" borderId="19" xfId="0" applyNumberFormat="1" applyFont="1" applyBorder="1"/>
    <xf numFmtId="10" fontId="6" fillId="0" borderId="0" xfId="0" applyNumberFormat="1" applyFont="1"/>
    <xf numFmtId="2" fontId="6" fillId="0" borderId="1" xfId="0" applyNumberFormat="1" applyFont="1" applyBorder="1"/>
    <xf numFmtId="9" fontId="11" fillId="0" borderId="1" xfId="0" applyNumberFormat="1" applyFont="1" applyBorder="1"/>
    <xf numFmtId="2" fontId="6" fillId="0" borderId="70" xfId="0" applyNumberFormat="1" applyFont="1" applyBorder="1"/>
    <xf numFmtId="9" fontId="11" fillId="0" borderId="72" xfId="0" applyNumberFormat="1" applyFont="1" applyBorder="1"/>
    <xf numFmtId="2" fontId="6" fillId="0" borderId="72" xfId="0" applyNumberFormat="1" applyFont="1" applyBorder="1"/>
    <xf numFmtId="2" fontId="6" fillId="0" borderId="74" xfId="0" applyNumberFormat="1" applyFont="1" applyBorder="1"/>
    <xf numFmtId="0" fontId="6" fillId="0" borderId="2" xfId="0" applyFont="1" applyBorder="1"/>
    <xf numFmtId="169" fontId="11" fillId="0" borderId="99" xfId="0" applyNumberFormat="1" applyFont="1" applyBorder="1"/>
    <xf numFmtId="0" fontId="8" fillId="0" borderId="116" xfId="0" applyFont="1" applyBorder="1" applyAlignment="1">
      <alignment horizontal="center"/>
    </xf>
    <xf numFmtId="0" fontId="8" fillId="0" borderId="117" xfId="0" applyFont="1" applyBorder="1" applyAlignment="1">
      <alignment horizontal="center"/>
    </xf>
    <xf numFmtId="0" fontId="8" fillId="0" borderId="118" xfId="0" applyFont="1" applyBorder="1" applyAlignment="1">
      <alignment horizontal="center"/>
    </xf>
    <xf numFmtId="0" fontId="7" fillId="0" borderId="15" xfId="0" applyFont="1" applyBorder="1" applyAlignment="1">
      <alignment horizontal="center" vertical="center"/>
    </xf>
    <xf numFmtId="0" fontId="7" fillId="0" borderId="16" xfId="0" applyFont="1" applyBorder="1" applyAlignment="1">
      <alignment horizontal="center" vertical="center"/>
    </xf>
    <xf numFmtId="0" fontId="7" fillId="0" borderId="49" xfId="0" applyFont="1" applyBorder="1" applyAlignment="1">
      <alignment horizontal="center" vertical="center"/>
    </xf>
    <xf numFmtId="0" fontId="7" fillId="0" borderId="18" xfId="0" applyFont="1" applyBorder="1" applyAlignment="1">
      <alignment horizontal="center" vertical="center"/>
    </xf>
    <xf numFmtId="0" fontId="7" fillId="0" borderId="12" xfId="0" applyFont="1" applyBorder="1" applyAlignment="1">
      <alignment horizontal="center" vertical="center"/>
    </xf>
    <xf numFmtId="0" fontId="7" fillId="0" borderId="106" xfId="0" applyFont="1" applyBorder="1" applyAlignment="1">
      <alignment horizontal="center" vertical="center"/>
    </xf>
    <xf numFmtId="0" fontId="7" fillId="0" borderId="20" xfId="0" applyFont="1" applyBorder="1" applyAlignment="1">
      <alignment horizontal="center" vertical="center"/>
    </xf>
    <xf numFmtId="0" fontId="7" fillId="0" borderId="21" xfId="0" applyFont="1" applyBorder="1" applyAlignment="1">
      <alignment horizontal="center" vertical="center"/>
    </xf>
    <xf numFmtId="0" fontId="7" fillId="0" borderId="115" xfId="0" applyFont="1" applyBorder="1" applyAlignment="1">
      <alignment horizontal="center" vertical="center"/>
    </xf>
    <xf numFmtId="9" fontId="6" fillId="0" borderId="1" xfId="1" applyFont="1" applyBorder="1" applyAlignment="1">
      <alignment wrapText="1"/>
    </xf>
    <xf numFmtId="0" fontId="11" fillId="0" borderId="20" xfId="0" applyFont="1" applyBorder="1"/>
    <xf numFmtId="10" fontId="11" fillId="0" borderId="21" xfId="0" applyNumberFormat="1" applyFont="1" applyBorder="1"/>
    <xf numFmtId="10" fontId="11" fillId="0" borderId="22" xfId="0" applyNumberFormat="1" applyFont="1" applyBorder="1"/>
    <xf numFmtId="0" fontId="40" fillId="24" borderId="123" xfId="0" applyFont="1" applyFill="1" applyBorder="1" applyAlignment="1">
      <alignment horizontal="left"/>
    </xf>
    <xf numFmtId="0" fontId="40" fillId="24" borderId="119" xfId="0" applyFont="1" applyFill="1" applyBorder="1" applyAlignment="1">
      <alignment horizontal="left"/>
    </xf>
    <xf numFmtId="0" fontId="42" fillId="25" borderId="98" xfId="0" applyFont="1" applyFill="1" applyBorder="1" applyAlignment="1">
      <alignment horizontal="left"/>
    </xf>
    <xf numFmtId="0" fontId="41" fillId="25" borderId="122" xfId="0" applyFont="1" applyFill="1" applyBorder="1" applyAlignment="1">
      <alignment horizontal="left"/>
    </xf>
    <xf numFmtId="0" fontId="43" fillId="24" borderId="119" xfId="0" applyFont="1" applyFill="1" applyBorder="1" applyAlignment="1">
      <alignment horizontal="right"/>
    </xf>
    <xf numFmtId="0" fontId="43" fillId="24" borderId="123" xfId="0" applyFont="1" applyFill="1" applyBorder="1" applyAlignment="1">
      <alignment horizontal="right"/>
    </xf>
    <xf numFmtId="0" fontId="6" fillId="0" borderId="64" xfId="0" applyFont="1" applyBorder="1" applyAlignment="1">
      <alignment horizontal="center"/>
    </xf>
    <xf numFmtId="0" fontId="6" fillId="0" borderId="14" xfId="0" applyFont="1" applyBorder="1" applyAlignment="1">
      <alignment horizontal="center"/>
    </xf>
    <xf numFmtId="0" fontId="6" fillId="0" borderId="105" xfId="0" applyFont="1" applyBorder="1" applyAlignment="1">
      <alignment horizontal="center"/>
    </xf>
    <xf numFmtId="14" fontId="6" fillId="0" borderId="125" xfId="0" applyNumberFormat="1" applyFont="1" applyBorder="1" applyAlignment="1">
      <alignment horizontal="left"/>
    </xf>
    <xf numFmtId="167" fontId="6" fillId="0" borderId="126" xfId="0" applyNumberFormat="1" applyFont="1" applyBorder="1"/>
    <xf numFmtId="168" fontId="6" fillId="0" borderId="126" xfId="0" applyNumberFormat="1" applyFont="1" applyBorder="1"/>
    <xf numFmtId="0" fontId="11" fillId="0" borderId="100" xfId="0" applyFont="1" applyBorder="1"/>
    <xf numFmtId="0" fontId="11" fillId="0" borderId="101" xfId="0" applyFont="1" applyBorder="1"/>
    <xf numFmtId="0" fontId="11" fillId="0" borderId="111" xfId="0" applyFont="1" applyBorder="1"/>
    <xf numFmtId="10" fontId="11" fillId="0" borderId="112" xfId="1" applyNumberFormat="1" applyFont="1" applyBorder="1"/>
    <xf numFmtId="0" fontId="11" fillId="0" borderId="102" xfId="0" applyFont="1" applyBorder="1"/>
    <xf numFmtId="9" fontId="11" fillId="0" borderId="68" xfId="0" applyNumberFormat="1" applyFont="1" applyBorder="1"/>
    <xf numFmtId="14" fontId="6" fillId="0" borderId="127" xfId="0" applyNumberFormat="1" applyFont="1" applyBorder="1" applyAlignment="1">
      <alignment horizontal="left"/>
    </xf>
    <xf numFmtId="167" fontId="6" fillId="0" borderId="128" xfId="0" applyNumberFormat="1" applyFont="1" applyBorder="1"/>
    <xf numFmtId="168" fontId="6" fillId="0" borderId="128" xfId="0" applyNumberFormat="1" applyFont="1" applyBorder="1"/>
    <xf numFmtId="14" fontId="6" fillId="0" borderId="0" xfId="0" applyNumberFormat="1" applyFont="1"/>
    <xf numFmtId="0" fontId="6" fillId="0" borderId="132" xfId="0" applyFont="1" applyBorder="1"/>
    <xf numFmtId="0" fontId="6" fillId="0" borderId="133" xfId="0" applyFont="1" applyBorder="1"/>
    <xf numFmtId="0" fontId="6" fillId="0" borderId="129" xfId="0" applyFont="1" applyBorder="1"/>
    <xf numFmtId="0" fontId="6" fillId="0" borderId="44" xfId="0" applyFont="1" applyBorder="1"/>
    <xf numFmtId="43" fontId="6" fillId="0" borderId="83" xfId="0" applyNumberFormat="1" applyFont="1" applyBorder="1"/>
    <xf numFmtId="164" fontId="6" fillId="0" borderId="12" xfId="0" applyNumberFormat="1" applyFont="1" applyBorder="1"/>
    <xf numFmtId="43" fontId="6" fillId="0" borderId="85" xfId="0" applyNumberFormat="1" applyFont="1" applyBorder="1"/>
    <xf numFmtId="0" fontId="6" fillId="0" borderId="85" xfId="0" applyFont="1" applyBorder="1"/>
    <xf numFmtId="0" fontId="6" fillId="0" borderId="86" xfId="0" applyFont="1" applyBorder="1"/>
    <xf numFmtId="0" fontId="11" fillId="0" borderId="15" xfId="0" applyFont="1" applyBorder="1"/>
    <xf numFmtId="0" fontId="6" fillId="0" borderId="17" xfId="0" applyFont="1" applyBorder="1"/>
    <xf numFmtId="10" fontId="7" fillId="0" borderId="19" xfId="0" applyNumberFormat="1" applyFont="1" applyBorder="1"/>
    <xf numFmtId="44" fontId="6" fillId="0" borderId="0" xfId="0" applyNumberFormat="1" applyFont="1"/>
    <xf numFmtId="9" fontId="6" fillId="0" borderId="19" xfId="0" applyNumberFormat="1" applyFont="1" applyBorder="1"/>
    <xf numFmtId="0" fontId="6" fillId="0" borderId="20" xfId="0" applyFont="1" applyBorder="1"/>
    <xf numFmtId="10" fontId="6" fillId="0" borderId="22" xfId="0" applyNumberFormat="1" applyFont="1" applyBorder="1"/>
    <xf numFmtId="0" fontId="11" fillId="0" borderId="44" xfId="0" applyFont="1" applyBorder="1" applyAlignment="1">
      <alignment wrapText="1"/>
    </xf>
    <xf numFmtId="8" fontId="11" fillId="0" borderId="83" xfId="0" applyNumberFormat="1" applyFont="1" applyBorder="1"/>
    <xf numFmtId="0" fontId="11" fillId="0" borderId="44" xfId="0" applyFont="1" applyBorder="1"/>
    <xf numFmtId="43" fontId="11" fillId="0" borderId="83" xfId="0" applyNumberFormat="1" applyFont="1" applyBorder="1"/>
    <xf numFmtId="0" fontId="11" fillId="0" borderId="61" xfId="0" applyFont="1" applyBorder="1"/>
    <xf numFmtId="44" fontId="11" fillId="0" borderId="84" xfId="0" applyNumberFormat="1" applyFont="1" applyBorder="1"/>
    <xf numFmtId="10" fontId="8" fillId="0" borderId="19" xfId="0" applyNumberFormat="1" applyFont="1" applyBorder="1"/>
    <xf numFmtId="169" fontId="6" fillId="0" borderId="24" xfId="0" applyNumberFormat="1" applyFont="1" applyBorder="1"/>
    <xf numFmtId="0" fontId="6" fillId="0" borderId="136" xfId="0" applyFont="1" applyBorder="1"/>
    <xf numFmtId="169" fontId="6" fillId="0" borderId="131" xfId="0" applyNumberFormat="1" applyFont="1" applyBorder="1"/>
    <xf numFmtId="169" fontId="6" fillId="0" borderId="73" xfId="0" applyNumberFormat="1" applyFont="1" applyBorder="1"/>
    <xf numFmtId="0" fontId="6" fillId="0" borderId="83" xfId="0" applyFont="1" applyBorder="1" applyAlignment="1">
      <alignment wrapText="1"/>
    </xf>
    <xf numFmtId="0" fontId="11" fillId="0" borderId="111" xfId="0" applyFont="1" applyBorder="1" applyAlignment="1">
      <alignment wrapText="1"/>
    </xf>
    <xf numFmtId="10" fontId="11" fillId="0" borderId="0" xfId="0" applyNumberFormat="1" applyFont="1"/>
    <xf numFmtId="169" fontId="6" fillId="0" borderId="137" xfId="0" applyNumberFormat="1" applyFont="1" applyBorder="1"/>
    <xf numFmtId="0" fontId="6" fillId="0" borderId="138" xfId="0" applyFont="1" applyBorder="1"/>
    <xf numFmtId="10" fontId="6" fillId="0" borderId="137" xfId="0" applyNumberFormat="1" applyFont="1" applyBorder="1"/>
    <xf numFmtId="0" fontId="11" fillId="0" borderId="83" xfId="0" applyFont="1" applyBorder="1"/>
    <xf numFmtId="169" fontId="11" fillId="0" borderId="73" xfId="0" applyNumberFormat="1" applyFont="1" applyBorder="1"/>
    <xf numFmtId="0" fontId="11" fillId="0" borderId="84" xfId="0" applyFont="1" applyBorder="1"/>
    <xf numFmtId="169" fontId="11" fillId="0" borderId="85" xfId="0" applyNumberFormat="1" applyFont="1" applyBorder="1"/>
    <xf numFmtId="0" fontId="6" fillId="0" borderId="64" xfId="0" applyFont="1" applyBorder="1"/>
    <xf numFmtId="0" fontId="6" fillId="0" borderId="11" xfId="0" applyFont="1" applyBorder="1"/>
    <xf numFmtId="2" fontId="6" fillId="0" borderId="11" xfId="0" applyNumberFormat="1" applyFont="1" applyBorder="1"/>
    <xf numFmtId="2" fontId="6" fillId="0" borderId="105" xfId="0" applyNumberFormat="1" applyFont="1" applyBorder="1"/>
    <xf numFmtId="2" fontId="6" fillId="0" borderId="0" xfId="0" applyNumberFormat="1" applyFont="1"/>
    <xf numFmtId="0" fontId="6" fillId="0" borderId="69" xfId="0" applyFont="1" applyBorder="1"/>
    <xf numFmtId="0" fontId="11" fillId="0" borderId="71" xfId="0" applyFont="1" applyBorder="1"/>
    <xf numFmtId="2" fontId="11" fillId="0" borderId="72" xfId="0" applyNumberFormat="1" applyFont="1" applyBorder="1"/>
    <xf numFmtId="2" fontId="11" fillId="0" borderId="74" xfId="0" applyNumberFormat="1" applyFont="1" applyBorder="1"/>
    <xf numFmtId="2" fontId="11" fillId="0" borderId="0" xfId="0" applyNumberFormat="1" applyFont="1"/>
    <xf numFmtId="0" fontId="6" fillId="0" borderId="77" xfId="0" applyFont="1" applyBorder="1"/>
    <xf numFmtId="0" fontId="6" fillId="0" borderId="3" xfId="0" applyFont="1" applyBorder="1"/>
    <xf numFmtId="2" fontId="6" fillId="0" borderId="95" xfId="0" applyNumberFormat="1" applyFont="1" applyBorder="1"/>
    <xf numFmtId="0" fontId="6" fillId="0" borderId="57" xfId="0" applyFont="1" applyBorder="1"/>
    <xf numFmtId="0" fontId="6" fillId="0" borderId="91" xfId="0" applyFont="1" applyBorder="1"/>
    <xf numFmtId="2" fontId="6" fillId="0" borderId="92" xfId="0" applyNumberFormat="1" applyFont="1" applyBorder="1"/>
    <xf numFmtId="0" fontId="11" fillId="0" borderId="0" xfId="4" applyFont="1"/>
    <xf numFmtId="0" fontId="11" fillId="0" borderId="0" xfId="0" applyFont="1" applyAlignment="1">
      <alignment horizontal="right"/>
    </xf>
    <xf numFmtId="0" fontId="11" fillId="0" borderId="48" xfId="0" applyFont="1" applyBorder="1"/>
    <xf numFmtId="0" fontId="11" fillId="0" borderId="46" xfId="0" applyFont="1" applyBorder="1"/>
    <xf numFmtId="0" fontId="11" fillId="0" borderId="47" xfId="0" applyFont="1" applyBorder="1"/>
    <xf numFmtId="0" fontId="11" fillId="0" borderId="72" xfId="0" applyFont="1" applyBorder="1"/>
    <xf numFmtId="0" fontId="11" fillId="0" borderId="6" xfId="0" applyFont="1" applyBorder="1"/>
    <xf numFmtId="0" fontId="11" fillId="0" borderId="11" xfId="0" applyFont="1" applyBorder="1"/>
    <xf numFmtId="0" fontId="11" fillId="0" borderId="90" xfId="0" applyFont="1" applyBorder="1" applyAlignment="1">
      <alignment horizontal="center"/>
    </xf>
    <xf numFmtId="0" fontId="11" fillId="0" borderId="103" xfId="0" applyFont="1" applyBorder="1" applyAlignment="1">
      <alignment horizontal="left" wrapText="1"/>
    </xf>
    <xf numFmtId="0" fontId="6" fillId="0" borderId="60" xfId="0" applyFont="1" applyBorder="1"/>
    <xf numFmtId="0" fontId="6" fillId="0" borderId="124" xfId="0" applyFont="1" applyBorder="1"/>
    <xf numFmtId="0" fontId="6" fillId="0" borderId="69" xfId="0" applyFont="1" applyBorder="1" applyAlignment="1">
      <alignment wrapText="1"/>
    </xf>
    <xf numFmtId="0" fontId="6" fillId="0" borderId="139" xfId="0" applyFont="1" applyBorder="1" applyAlignment="1">
      <alignment wrapText="1"/>
    </xf>
    <xf numFmtId="0" fontId="11" fillId="0" borderId="46" xfId="0" applyFont="1" applyBorder="1" applyAlignment="1">
      <alignment horizontal="left" wrapText="1"/>
    </xf>
    <xf numFmtId="169" fontId="6" fillId="0" borderId="70" xfId="0" applyNumberFormat="1" applyFont="1" applyBorder="1"/>
    <xf numFmtId="169" fontId="6" fillId="0" borderId="140" xfId="0" applyNumberFormat="1" applyFont="1" applyBorder="1"/>
    <xf numFmtId="169" fontId="11" fillId="0" borderId="104" xfId="0" applyNumberFormat="1" applyFont="1" applyBorder="1" applyAlignment="1">
      <alignment horizontal="right"/>
    </xf>
    <xf numFmtId="169" fontId="6" fillId="0" borderId="96" xfId="0" applyNumberFormat="1" applyFont="1" applyBorder="1"/>
    <xf numFmtId="169" fontId="6" fillId="0" borderId="76" xfId="0" applyNumberFormat="1" applyFont="1" applyBorder="1"/>
    <xf numFmtId="169" fontId="6" fillId="0" borderId="93" xfId="0" applyNumberFormat="1" applyFont="1" applyBorder="1"/>
    <xf numFmtId="169" fontId="6" fillId="0" borderId="95" xfId="0" applyNumberFormat="1" applyFont="1" applyBorder="1"/>
    <xf numFmtId="169" fontId="6" fillId="0" borderId="1" xfId="0" applyNumberFormat="1" applyFont="1" applyBorder="1"/>
    <xf numFmtId="169" fontId="6" fillId="0" borderId="92" xfId="0" applyNumberFormat="1" applyFont="1" applyBorder="1"/>
    <xf numFmtId="169" fontId="6" fillId="0" borderId="25" xfId="0" applyNumberFormat="1" applyFont="1" applyBorder="1"/>
    <xf numFmtId="169" fontId="6" fillId="0" borderId="19" xfId="0" applyNumberFormat="1" applyFont="1" applyBorder="1"/>
    <xf numFmtId="169" fontId="6" fillId="0" borderId="130" xfId="0" applyNumberFormat="1" applyFont="1" applyBorder="1"/>
    <xf numFmtId="169" fontId="6" fillId="0" borderId="72" xfId="0" applyNumberFormat="1" applyFont="1" applyBorder="1"/>
    <xf numFmtId="169" fontId="11" fillId="0" borderId="1" xfId="0" applyNumberFormat="1" applyFont="1" applyBorder="1"/>
    <xf numFmtId="169" fontId="11" fillId="0" borderId="70" xfId="0" applyNumberFormat="1" applyFont="1" applyBorder="1"/>
    <xf numFmtId="0" fontId="11" fillId="0" borderId="69" xfId="0" applyFont="1" applyBorder="1" applyAlignment="1">
      <alignment wrapText="1"/>
    </xf>
    <xf numFmtId="0" fontId="6" fillId="0" borderId="30" xfId="0" applyFont="1" applyBorder="1" applyAlignment="1">
      <alignment vertical="center"/>
    </xf>
    <xf numFmtId="0" fontId="6" fillId="0" borderId="16" xfId="0" applyFont="1" applyBorder="1" applyAlignment="1">
      <alignment vertical="center" wrapText="1"/>
    </xf>
    <xf numFmtId="0" fontId="6" fillId="0" borderId="17" xfId="0" applyFont="1" applyBorder="1" applyAlignment="1">
      <alignment vertical="center" wrapText="1"/>
    </xf>
    <xf numFmtId="0" fontId="6" fillId="0" borderId="1" xfId="0" applyFont="1" applyBorder="1" applyAlignment="1">
      <alignment vertical="center"/>
    </xf>
    <xf numFmtId="0" fontId="6" fillId="0" borderId="45" xfId="0" applyFont="1" applyBorder="1" applyAlignment="1">
      <alignment vertical="center" wrapText="1"/>
    </xf>
    <xf numFmtId="0" fontId="6" fillId="0" borderId="19" xfId="0" applyFont="1" applyBorder="1" applyAlignment="1">
      <alignment vertical="center" wrapText="1"/>
    </xf>
    <xf numFmtId="0" fontId="6" fillId="0" borderId="12" xfId="0" applyFont="1" applyBorder="1" applyAlignment="1">
      <alignment vertical="center"/>
    </xf>
    <xf numFmtId="0" fontId="6" fillId="0" borderId="21" xfId="0" applyFont="1" applyBorder="1" applyAlignment="1">
      <alignment vertical="center"/>
    </xf>
    <xf numFmtId="0" fontId="6" fillId="0" borderId="21" xfId="0" applyFont="1" applyBorder="1" applyAlignment="1">
      <alignment vertical="center" wrapText="1"/>
    </xf>
    <xf numFmtId="0" fontId="6" fillId="0" borderId="22" xfId="0" applyFont="1" applyBorder="1" applyAlignment="1">
      <alignment vertical="center" wrapText="1"/>
    </xf>
    <xf numFmtId="0" fontId="45" fillId="0" borderId="0" xfId="0" applyFont="1"/>
    <xf numFmtId="43" fontId="7" fillId="12" borderId="12" xfId="2" applyFont="1" applyFill="1" applyBorder="1"/>
    <xf numFmtId="43" fontId="36" fillId="12" borderId="12" xfId="2" applyFont="1" applyFill="1" applyBorder="1"/>
    <xf numFmtId="0" fontId="13" fillId="12" borderId="80" xfId="0" applyFont="1" applyFill="1" applyBorder="1"/>
    <xf numFmtId="10" fontId="7" fillId="12" borderId="81" xfId="0" applyNumberFormat="1" applyFont="1" applyFill="1" applyBorder="1"/>
    <xf numFmtId="10" fontId="8" fillId="6" borderId="81" xfId="0" applyNumberFormat="1" applyFont="1" applyFill="1" applyBorder="1"/>
    <xf numFmtId="0" fontId="7" fillId="12" borderId="81" xfId="0" applyFont="1" applyFill="1" applyBorder="1"/>
    <xf numFmtId="0" fontId="7" fillId="12" borderId="82" xfId="0" applyFont="1" applyFill="1" applyBorder="1"/>
    <xf numFmtId="0" fontId="8" fillId="12" borderId="83" xfId="0" applyFont="1" applyFill="1" applyBorder="1"/>
    <xf numFmtId="43" fontId="7" fillId="12" borderId="73" xfId="2" applyFont="1" applyFill="1" applyBorder="1"/>
    <xf numFmtId="0" fontId="7" fillId="12" borderId="83" xfId="0" applyFont="1" applyFill="1" applyBorder="1"/>
    <xf numFmtId="0" fontId="7" fillId="12" borderId="84" xfId="0" applyFont="1" applyFill="1" applyBorder="1"/>
    <xf numFmtId="10" fontId="7" fillId="12" borderId="85" xfId="0" applyNumberFormat="1" applyFont="1" applyFill="1" applyBorder="1"/>
    <xf numFmtId="10" fontId="8" fillId="6" borderId="85" xfId="0" applyNumberFormat="1" applyFont="1" applyFill="1" applyBorder="1"/>
    <xf numFmtId="0" fontId="7" fillId="12" borderId="85" xfId="0" applyFont="1" applyFill="1" applyBorder="1"/>
    <xf numFmtId="0" fontId="7" fillId="12" borderId="86" xfId="0" applyFont="1" applyFill="1" applyBorder="1"/>
    <xf numFmtId="0" fontId="8" fillId="12" borderId="80" xfId="0" applyFont="1" applyFill="1" applyBorder="1"/>
    <xf numFmtId="0" fontId="8" fillId="6" borderId="81" xfId="0" applyFont="1" applyFill="1" applyBorder="1"/>
    <xf numFmtId="0" fontId="7" fillId="12" borderId="73" xfId="0" applyFont="1" applyFill="1" applyBorder="1"/>
    <xf numFmtId="2" fontId="8" fillId="6" borderId="85" xfId="0" applyNumberFormat="1" applyFont="1" applyFill="1" applyBorder="1"/>
    <xf numFmtId="0" fontId="8" fillId="6" borderId="85" xfId="0" applyFont="1" applyFill="1" applyBorder="1"/>
    <xf numFmtId="0" fontId="6" fillId="12" borderId="60" xfId="0" applyFont="1" applyFill="1" applyBorder="1"/>
    <xf numFmtId="0" fontId="6" fillId="12" borderId="141" xfId="0" applyFont="1" applyFill="1" applyBorder="1"/>
    <xf numFmtId="43" fontId="6" fillId="12" borderId="141" xfId="0" applyNumberFormat="1" applyFont="1" applyFill="1" applyBorder="1"/>
    <xf numFmtId="43" fontId="6" fillId="12" borderId="124" xfId="0" applyNumberFormat="1" applyFont="1" applyFill="1" applyBorder="1"/>
    <xf numFmtId="0" fontId="6" fillId="0" borderId="111" xfId="0" applyFont="1" applyBorder="1"/>
    <xf numFmtId="0" fontId="6" fillId="0" borderId="112" xfId="0" applyFont="1" applyBorder="1"/>
    <xf numFmtId="0" fontId="6" fillId="12" borderId="69" xfId="0" applyFont="1" applyFill="1" applyBorder="1"/>
    <xf numFmtId="0" fontId="6" fillId="12" borderId="70" xfId="0" applyFont="1" applyFill="1" applyBorder="1"/>
    <xf numFmtId="0" fontId="6" fillId="0" borderId="70" xfId="0" applyFont="1" applyBorder="1"/>
    <xf numFmtId="0" fontId="7" fillId="12" borderId="69" xfId="0" applyFont="1" applyFill="1" applyBorder="1"/>
    <xf numFmtId="0" fontId="7" fillId="12" borderId="70" xfId="0" applyFont="1" applyFill="1" applyBorder="1"/>
    <xf numFmtId="0" fontId="7" fillId="12" borderId="71" xfId="0" applyFont="1" applyFill="1" applyBorder="1"/>
    <xf numFmtId="0" fontId="7" fillId="12" borderId="72" xfId="0" applyFont="1" applyFill="1" applyBorder="1"/>
    <xf numFmtId="0" fontId="8" fillId="6" borderId="72" xfId="0" applyFont="1" applyFill="1" applyBorder="1"/>
    <xf numFmtId="43" fontId="7" fillId="12" borderId="72" xfId="0" applyNumberFormat="1" applyFont="1" applyFill="1" applyBorder="1"/>
    <xf numFmtId="43" fontId="7" fillId="12" borderId="74" xfId="0" applyNumberFormat="1" applyFont="1" applyFill="1" applyBorder="1"/>
    <xf numFmtId="0" fontId="6" fillId="0" borderId="145" xfId="0" applyFont="1" applyBorder="1"/>
    <xf numFmtId="0" fontId="6" fillId="0" borderId="14" xfId="0" applyFont="1" applyBorder="1"/>
    <xf numFmtId="0" fontId="11" fillId="0" borderId="14" xfId="0" applyFont="1" applyBorder="1"/>
    <xf numFmtId="0" fontId="6" fillId="0" borderId="146" xfId="0" applyFont="1" applyBorder="1"/>
    <xf numFmtId="0" fontId="6" fillId="12" borderId="103" xfId="0" applyFont="1" applyFill="1" applyBorder="1"/>
    <xf numFmtId="0" fontId="6" fillId="12" borderId="113" xfId="0" applyFont="1" applyFill="1" applyBorder="1"/>
    <xf numFmtId="43" fontId="6" fillId="12" borderId="113" xfId="0" applyNumberFormat="1" applyFont="1" applyFill="1" applyBorder="1"/>
    <xf numFmtId="43" fontId="6" fillId="6" borderId="113" xfId="0" applyNumberFormat="1" applyFont="1" applyFill="1" applyBorder="1"/>
    <xf numFmtId="43" fontId="6" fillId="12" borderId="104" xfId="0" applyNumberFormat="1" applyFont="1" applyFill="1" applyBorder="1"/>
    <xf numFmtId="0" fontId="11" fillId="6" borderId="141" xfId="0" applyFont="1" applyFill="1" applyBorder="1"/>
    <xf numFmtId="0" fontId="6" fillId="12" borderId="71" xfId="0" applyFont="1" applyFill="1" applyBorder="1"/>
    <xf numFmtId="43" fontId="6" fillId="12" borderId="72" xfId="0" applyNumberFormat="1" applyFont="1" applyFill="1" applyBorder="1"/>
    <xf numFmtId="43" fontId="11" fillId="6" borderId="72" xfId="0" applyNumberFormat="1" applyFont="1" applyFill="1" applyBorder="1"/>
    <xf numFmtId="0" fontId="11" fillId="6" borderId="72" xfId="0" applyFont="1" applyFill="1" applyBorder="1"/>
    <xf numFmtId="0" fontId="6" fillId="12" borderId="72" xfId="0" applyFont="1" applyFill="1" applyBorder="1"/>
    <xf numFmtId="0" fontId="6" fillId="12" borderId="74" xfId="0" applyFont="1" applyFill="1" applyBorder="1"/>
    <xf numFmtId="0" fontId="7" fillId="12" borderId="60" xfId="0" applyFont="1" applyFill="1" applyBorder="1"/>
    <xf numFmtId="43" fontId="7" fillId="12" borderId="141" xfId="0" applyNumberFormat="1" applyFont="1" applyFill="1" applyBorder="1"/>
    <xf numFmtId="0" fontId="8" fillId="6" borderId="141" xfId="0" applyFont="1" applyFill="1" applyBorder="1"/>
    <xf numFmtId="0" fontId="7" fillId="12" borderId="141" xfId="0" applyFont="1" applyFill="1" applyBorder="1"/>
    <xf numFmtId="43" fontId="7" fillId="12" borderId="124" xfId="0" applyNumberFormat="1" applyFont="1" applyFill="1" applyBorder="1"/>
    <xf numFmtId="0" fontId="8" fillId="10" borderId="80" xfId="0" applyFont="1" applyFill="1" applyBorder="1"/>
    <xf numFmtId="0" fontId="7" fillId="10" borderId="81" xfId="0" applyFont="1" applyFill="1" applyBorder="1"/>
    <xf numFmtId="0" fontId="7" fillId="10" borderId="82" xfId="0" applyFont="1" applyFill="1" applyBorder="1"/>
    <xf numFmtId="0" fontId="7" fillId="10" borderId="83" xfId="0" applyFont="1" applyFill="1" applyBorder="1" applyAlignment="1">
      <alignment wrapText="1"/>
    </xf>
    <xf numFmtId="0" fontId="7" fillId="10" borderId="73" xfId="0" applyFont="1" applyFill="1" applyBorder="1"/>
    <xf numFmtId="0" fontId="7" fillId="10" borderId="83" xfId="0" applyFont="1" applyFill="1" applyBorder="1"/>
    <xf numFmtId="0" fontId="7" fillId="10" borderId="138" xfId="0" applyFont="1" applyFill="1" applyBorder="1"/>
    <xf numFmtId="0" fontId="7" fillId="10" borderId="137" xfId="0" applyFont="1" applyFill="1" applyBorder="1"/>
    <xf numFmtId="0" fontId="7" fillId="10" borderId="71" xfId="0" applyFont="1" applyFill="1" applyBorder="1"/>
    <xf numFmtId="0" fontId="7" fillId="10" borderId="72" xfId="0" applyFont="1" applyFill="1" applyBorder="1"/>
    <xf numFmtId="0" fontId="7" fillId="10" borderId="74" xfId="0" applyFont="1" applyFill="1" applyBorder="1"/>
    <xf numFmtId="0" fontId="30" fillId="10" borderId="80" xfId="0" applyFont="1" applyFill="1" applyBorder="1"/>
    <xf numFmtId="43" fontId="8" fillId="10" borderId="81" xfId="1" applyNumberFormat="1" applyFont="1" applyFill="1" applyBorder="1"/>
    <xf numFmtId="43" fontId="8" fillId="10" borderId="81" xfId="0" applyNumberFormat="1" applyFont="1" applyFill="1" applyBorder="1"/>
    <xf numFmtId="43" fontId="8" fillId="10" borderId="82" xfId="0" applyNumberFormat="1" applyFont="1" applyFill="1" applyBorder="1"/>
    <xf numFmtId="0" fontId="8" fillId="10" borderId="83" xfId="0" applyFont="1" applyFill="1" applyBorder="1"/>
    <xf numFmtId="10" fontId="7" fillId="10" borderId="73" xfId="0" applyNumberFormat="1" applyFont="1" applyFill="1" applyBorder="1"/>
    <xf numFmtId="9" fontId="7" fillId="10" borderId="73" xfId="0" applyNumberFormat="1" applyFont="1" applyFill="1" applyBorder="1"/>
    <xf numFmtId="0" fontId="7" fillId="10" borderId="84" xfId="0" applyFont="1" applyFill="1" applyBorder="1"/>
    <xf numFmtId="10" fontId="7" fillId="10" borderId="85" xfId="1" applyNumberFormat="1" applyFont="1" applyFill="1" applyBorder="1"/>
    <xf numFmtId="10" fontId="8" fillId="6" borderId="85" xfId="1" applyNumberFormat="1" applyFont="1" applyFill="1" applyBorder="1"/>
    <xf numFmtId="10" fontId="7" fillId="10" borderId="85" xfId="0" applyNumberFormat="1" applyFont="1" applyFill="1" applyBorder="1"/>
    <xf numFmtId="10" fontId="7" fillId="10" borderId="86" xfId="0" applyNumberFormat="1" applyFont="1" applyFill="1" applyBorder="1"/>
    <xf numFmtId="0" fontId="13" fillId="10" borderId="83" xfId="0" applyFont="1" applyFill="1" applyBorder="1"/>
    <xf numFmtId="43" fontId="8" fillId="10" borderId="73" xfId="0" applyNumberFormat="1" applyFont="1" applyFill="1" applyBorder="1"/>
    <xf numFmtId="43" fontId="7" fillId="10" borderId="73" xfId="0" applyNumberFormat="1" applyFont="1" applyFill="1" applyBorder="1"/>
    <xf numFmtId="0" fontId="8" fillId="10" borderId="84" xfId="0" applyFont="1" applyFill="1" applyBorder="1"/>
    <xf numFmtId="43" fontId="8" fillId="10" borderId="85" xfId="0" applyNumberFormat="1" applyFont="1" applyFill="1" applyBorder="1"/>
    <xf numFmtId="9" fontId="8" fillId="6" borderId="85" xfId="0" applyNumberFormat="1" applyFont="1" applyFill="1" applyBorder="1"/>
    <xf numFmtId="43" fontId="8" fillId="10" borderId="86" xfId="0" applyNumberFormat="1" applyFont="1" applyFill="1" applyBorder="1"/>
    <xf numFmtId="0" fontId="21" fillId="13" borderId="80" xfId="0" applyFont="1" applyFill="1" applyBorder="1"/>
    <xf numFmtId="0" fontId="21" fillId="13" borderId="81" xfId="0" applyFont="1" applyFill="1" applyBorder="1"/>
    <xf numFmtId="0" fontId="21" fillId="13" borderId="82" xfId="0" applyFont="1" applyFill="1" applyBorder="1"/>
    <xf numFmtId="0" fontId="6" fillId="10" borderId="73" xfId="0" applyFont="1" applyFill="1" applyBorder="1"/>
    <xf numFmtId="0" fontId="9" fillId="10" borderId="83" xfId="0" applyFont="1" applyFill="1" applyBorder="1"/>
    <xf numFmtId="0" fontId="7" fillId="10" borderId="83" xfId="0" quotePrefix="1" applyFont="1" applyFill="1" applyBorder="1"/>
    <xf numFmtId="0" fontId="9" fillId="10" borderId="84" xfId="0" applyFont="1" applyFill="1" applyBorder="1"/>
    <xf numFmtId="169" fontId="7" fillId="10" borderId="12" xfId="0" applyNumberFormat="1" applyFont="1" applyFill="1" applyBorder="1"/>
    <xf numFmtId="169" fontId="6" fillId="10" borderId="12" xfId="0" applyNumberFormat="1" applyFont="1" applyFill="1" applyBorder="1"/>
    <xf numFmtId="169" fontId="6" fillId="10" borderId="73" xfId="0" applyNumberFormat="1" applyFont="1" applyFill="1" applyBorder="1"/>
    <xf numFmtId="169" fontId="8" fillId="10" borderId="12" xfId="0" applyNumberFormat="1" applyFont="1" applyFill="1" applyBorder="1"/>
    <xf numFmtId="169" fontId="8" fillId="10" borderId="73" xfId="0" applyNumberFormat="1" applyFont="1" applyFill="1" applyBorder="1"/>
    <xf numFmtId="169" fontId="11" fillId="10" borderId="12" xfId="0" applyNumberFormat="1" applyFont="1" applyFill="1" applyBorder="1"/>
    <xf numFmtId="169" fontId="11" fillId="10" borderId="73" xfId="0" applyNumberFormat="1" applyFont="1" applyFill="1" applyBorder="1"/>
    <xf numFmtId="169" fontId="10" fillId="10" borderId="12" xfId="0" applyNumberFormat="1" applyFont="1" applyFill="1" applyBorder="1"/>
    <xf numFmtId="169" fontId="10" fillId="10" borderId="73" xfId="0" applyNumberFormat="1" applyFont="1" applyFill="1" applyBorder="1"/>
    <xf numFmtId="169" fontId="9" fillId="10" borderId="12" xfId="0" applyNumberFormat="1" applyFont="1" applyFill="1" applyBorder="1"/>
    <xf numFmtId="169" fontId="9" fillId="10" borderId="73" xfId="0" applyNumberFormat="1" applyFont="1" applyFill="1" applyBorder="1"/>
    <xf numFmtId="169" fontId="7" fillId="10" borderId="73" xfId="0" applyNumberFormat="1" applyFont="1" applyFill="1" applyBorder="1"/>
    <xf numFmtId="169" fontId="9" fillId="10" borderId="85" xfId="0" applyNumberFormat="1" applyFont="1" applyFill="1" applyBorder="1"/>
    <xf numFmtId="169" fontId="9" fillId="10" borderId="86" xfId="0" applyNumberFormat="1" applyFont="1" applyFill="1" applyBorder="1"/>
    <xf numFmtId="169" fontId="7" fillId="12" borderId="12" xfId="0" applyNumberFormat="1" applyFont="1" applyFill="1" applyBorder="1"/>
    <xf numFmtId="169" fontId="6" fillId="12" borderId="12" xfId="0" applyNumberFormat="1" applyFont="1" applyFill="1" applyBorder="1"/>
    <xf numFmtId="169" fontId="8" fillId="12" borderId="12" xfId="0" applyNumberFormat="1" applyFont="1" applyFill="1" applyBorder="1"/>
    <xf numFmtId="169" fontId="7" fillId="12" borderId="12" xfId="0" applyNumberFormat="1" applyFont="1" applyFill="1" applyBorder="1" applyAlignment="1">
      <alignment horizontal="right"/>
    </xf>
    <xf numFmtId="169" fontId="13" fillId="12" borderId="21" xfId="0" applyNumberFormat="1" applyFont="1" applyFill="1" applyBorder="1"/>
    <xf numFmtId="169" fontId="13" fillId="12" borderId="21" xfId="2" applyNumberFormat="1" applyFont="1" applyFill="1" applyBorder="1"/>
    <xf numFmtId="169" fontId="8" fillId="0" borderId="36" xfId="0" applyNumberFormat="1" applyFont="1" applyBorder="1"/>
    <xf numFmtId="169" fontId="8" fillId="0" borderId="36" xfId="2" applyNumberFormat="1" applyFont="1" applyFill="1" applyBorder="1"/>
    <xf numFmtId="169" fontId="7" fillId="12" borderId="16" xfId="0" applyNumberFormat="1" applyFont="1" applyFill="1" applyBorder="1"/>
    <xf numFmtId="169" fontId="6" fillId="12" borderId="16" xfId="0" applyNumberFormat="1" applyFont="1" applyFill="1" applyBorder="1"/>
    <xf numFmtId="169" fontId="4" fillId="15" borderId="45" xfId="0" applyNumberFormat="1" applyFont="1" applyFill="1" applyBorder="1"/>
    <xf numFmtId="169" fontId="4" fillId="15" borderId="12" xfId="0" applyNumberFormat="1" applyFont="1" applyFill="1" applyBorder="1"/>
    <xf numFmtId="169" fontId="23" fillId="15" borderId="45" xfId="0" applyNumberFormat="1" applyFont="1" applyFill="1" applyBorder="1"/>
    <xf numFmtId="169" fontId="23" fillId="15" borderId="12" xfId="0" applyNumberFormat="1" applyFont="1" applyFill="1" applyBorder="1"/>
    <xf numFmtId="169" fontId="5" fillId="15" borderId="45" xfId="0" applyNumberFormat="1" applyFont="1" applyFill="1" applyBorder="1"/>
    <xf numFmtId="169" fontId="5" fillId="15" borderId="12" xfId="0" applyNumberFormat="1" applyFont="1" applyFill="1" applyBorder="1"/>
    <xf numFmtId="0" fontId="21" fillId="14" borderId="132" xfId="0" applyFont="1" applyFill="1" applyBorder="1"/>
    <xf numFmtId="0" fontId="21" fillId="14" borderId="150" xfId="0" applyFont="1" applyFill="1" applyBorder="1"/>
    <xf numFmtId="0" fontId="21" fillId="14" borderId="81" xfId="0" applyFont="1" applyFill="1" applyBorder="1"/>
    <xf numFmtId="0" fontId="21" fillId="14" borderId="82" xfId="0" applyFont="1" applyFill="1" applyBorder="1"/>
    <xf numFmtId="0" fontId="4" fillId="15" borderId="136" xfId="0" applyFont="1" applyFill="1" applyBorder="1"/>
    <xf numFmtId="43" fontId="4" fillId="15" borderId="73" xfId="0" applyNumberFormat="1" applyFont="1" applyFill="1" applyBorder="1"/>
    <xf numFmtId="0" fontId="4" fillId="15" borderId="136" xfId="0" applyFont="1" applyFill="1" applyBorder="1" applyAlignment="1">
      <alignment wrapText="1"/>
    </xf>
    <xf numFmtId="0" fontId="5" fillId="15" borderId="136" xfId="0" applyFont="1" applyFill="1" applyBorder="1"/>
    <xf numFmtId="43" fontId="5" fillId="15" borderId="73" xfId="0" applyNumberFormat="1" applyFont="1" applyFill="1" applyBorder="1"/>
    <xf numFmtId="169" fontId="4" fillId="15" borderId="73" xfId="0" applyNumberFormat="1" applyFont="1" applyFill="1" applyBorder="1"/>
    <xf numFmtId="0" fontId="23" fillId="15" borderId="136" xfId="0" applyFont="1" applyFill="1" applyBorder="1"/>
    <xf numFmtId="169" fontId="23" fillId="15" borderId="151" xfId="0" applyNumberFormat="1" applyFont="1" applyFill="1" applyBorder="1"/>
    <xf numFmtId="0" fontId="3" fillId="15" borderId="136" xfId="0" applyFont="1" applyFill="1" applyBorder="1" applyAlignment="1">
      <alignment vertical="center"/>
    </xf>
    <xf numFmtId="0" fontId="4" fillId="15" borderId="136" xfId="0" applyFont="1" applyFill="1" applyBorder="1" applyAlignment="1">
      <alignment vertical="center"/>
    </xf>
    <xf numFmtId="0" fontId="24" fillId="15" borderId="136" xfId="0" applyFont="1" applyFill="1" applyBorder="1"/>
    <xf numFmtId="169" fontId="23" fillId="15" borderId="73" xfId="0" applyNumberFormat="1" applyFont="1" applyFill="1" applyBorder="1"/>
    <xf numFmtId="0" fontId="5" fillId="15" borderId="136" xfId="0" applyFont="1" applyFill="1" applyBorder="1" applyAlignment="1">
      <alignment vertical="center"/>
    </xf>
    <xf numFmtId="169" fontId="5" fillId="15" borderId="73" xfId="0" applyNumberFormat="1" applyFont="1" applyFill="1" applyBorder="1"/>
    <xf numFmtId="0" fontId="5" fillId="15" borderId="133" xfId="0" applyFont="1" applyFill="1" applyBorder="1" applyAlignment="1">
      <alignment vertical="center"/>
    </xf>
    <xf numFmtId="169" fontId="5" fillId="15" borderId="152" xfId="0" applyNumberFormat="1" applyFont="1" applyFill="1" applyBorder="1"/>
    <xf numFmtId="169" fontId="5" fillId="15" borderId="85" xfId="0" applyNumberFormat="1" applyFont="1" applyFill="1" applyBorder="1"/>
    <xf numFmtId="169" fontId="5" fillId="15" borderId="86" xfId="0" applyNumberFormat="1" applyFont="1" applyFill="1" applyBorder="1"/>
    <xf numFmtId="0" fontId="7" fillId="12" borderId="44" xfId="0" applyFont="1" applyFill="1" applyBorder="1"/>
    <xf numFmtId="0" fontId="8" fillId="12" borderId="44" xfId="0" applyFont="1" applyFill="1" applyBorder="1"/>
    <xf numFmtId="0" fontId="13" fillId="12" borderId="61" xfId="0" applyFont="1" applyFill="1" applyBorder="1"/>
    <xf numFmtId="0" fontId="8" fillId="0" borderId="55" xfId="0" applyFont="1" applyBorder="1"/>
    <xf numFmtId="0" fontId="8" fillId="12" borderId="153" xfId="0" applyFont="1" applyFill="1" applyBorder="1" applyAlignment="1">
      <alignment wrapText="1"/>
    </xf>
    <xf numFmtId="0" fontId="7" fillId="12" borderId="39" xfId="0" applyFont="1" applyFill="1" applyBorder="1"/>
    <xf numFmtId="0" fontId="6" fillId="12" borderId="39" xfId="0" applyFont="1" applyFill="1" applyBorder="1"/>
    <xf numFmtId="0" fontId="6" fillId="12" borderId="40" xfId="0" applyFont="1" applyFill="1" applyBorder="1"/>
    <xf numFmtId="169" fontId="7" fillId="12" borderId="80" xfId="0" applyNumberFormat="1" applyFont="1" applyFill="1" applyBorder="1"/>
    <xf numFmtId="169" fontId="7" fillId="12" borderId="81" xfId="0" applyNumberFormat="1" applyFont="1" applyFill="1" applyBorder="1"/>
    <xf numFmtId="169" fontId="7" fillId="12" borderId="82" xfId="0" applyNumberFormat="1" applyFont="1" applyFill="1" applyBorder="1"/>
    <xf numFmtId="169" fontId="7" fillId="12" borderId="83" xfId="0" applyNumberFormat="1" applyFont="1" applyFill="1" applyBorder="1"/>
    <xf numFmtId="169" fontId="7" fillId="12" borderId="73" xfId="0" applyNumberFormat="1" applyFont="1" applyFill="1" applyBorder="1"/>
    <xf numFmtId="169" fontId="6" fillId="12" borderId="73" xfId="0" applyNumberFormat="1" applyFont="1" applyFill="1" applyBorder="1"/>
    <xf numFmtId="169" fontId="8" fillId="12" borderId="83" xfId="0" applyNumberFormat="1" applyFont="1" applyFill="1" applyBorder="1"/>
    <xf numFmtId="169" fontId="8" fillId="12" borderId="73" xfId="0" applyNumberFormat="1" applyFont="1" applyFill="1" applyBorder="1"/>
    <xf numFmtId="169" fontId="13" fillId="12" borderId="154" xfId="0" applyNumberFormat="1" applyFont="1" applyFill="1" applyBorder="1"/>
    <xf numFmtId="169" fontId="13" fillId="12" borderId="155" xfId="2" applyNumberFormat="1" applyFont="1" applyFill="1" applyBorder="1"/>
    <xf numFmtId="169" fontId="8" fillId="0" borderId="156" xfId="0" applyNumberFormat="1" applyFont="1" applyBorder="1"/>
    <xf numFmtId="169" fontId="8" fillId="0" borderId="157" xfId="2" applyNumberFormat="1" applyFont="1" applyFill="1" applyBorder="1"/>
    <xf numFmtId="169" fontId="7" fillId="12" borderId="158" xfId="0" applyNumberFormat="1" applyFont="1" applyFill="1" applyBorder="1"/>
    <xf numFmtId="169" fontId="6" fillId="12" borderId="159" xfId="0" applyNumberFormat="1" applyFont="1" applyFill="1" applyBorder="1"/>
    <xf numFmtId="169" fontId="13" fillId="12" borderId="84" xfId="0" applyNumberFormat="1" applyFont="1" applyFill="1" applyBorder="1"/>
    <xf numFmtId="169" fontId="13" fillId="12" borderId="85" xfId="0" applyNumberFormat="1" applyFont="1" applyFill="1" applyBorder="1"/>
    <xf numFmtId="169" fontId="13" fillId="12" borderId="85" xfId="2" applyNumberFormat="1" applyFont="1" applyFill="1" applyBorder="1"/>
    <xf numFmtId="169" fontId="13" fillId="12" borderId="86" xfId="0" applyNumberFormat="1" applyFont="1" applyFill="1" applyBorder="1"/>
    <xf numFmtId="0" fontId="15" fillId="8" borderId="60" xfId="0" applyFont="1" applyFill="1" applyBorder="1" applyAlignment="1">
      <alignment wrapText="1"/>
    </xf>
    <xf numFmtId="0" fontId="15" fillId="8" borderId="141" xfId="0" applyFont="1" applyFill="1" applyBorder="1"/>
    <xf numFmtId="0" fontId="15" fillId="8" borderId="124" xfId="0" applyFont="1" applyFill="1" applyBorder="1"/>
    <xf numFmtId="0" fontId="6" fillId="2" borderId="69" xfId="0" applyFont="1" applyFill="1" applyBorder="1"/>
    <xf numFmtId="43" fontId="6" fillId="2" borderId="70" xfId="0" applyNumberFormat="1" applyFont="1" applyFill="1" applyBorder="1"/>
    <xf numFmtId="165" fontId="6" fillId="2" borderId="70" xfId="1" applyNumberFormat="1" applyFont="1" applyFill="1" applyBorder="1"/>
    <xf numFmtId="2" fontId="6" fillId="2" borderId="70" xfId="0" applyNumberFormat="1" applyFont="1" applyFill="1" applyBorder="1" applyAlignment="1">
      <alignment wrapText="1"/>
    </xf>
    <xf numFmtId="2" fontId="6" fillId="2" borderId="73" xfId="0" applyNumberFormat="1" applyFont="1" applyFill="1" applyBorder="1"/>
    <xf numFmtId="43" fontId="6" fillId="2" borderId="105" xfId="0" applyNumberFormat="1" applyFont="1" applyFill="1" applyBorder="1"/>
    <xf numFmtId="2" fontId="6" fillId="2" borderId="70" xfId="0" applyNumberFormat="1" applyFont="1" applyFill="1" applyBorder="1"/>
    <xf numFmtId="0" fontId="6" fillId="2" borderId="71" xfId="0" applyFont="1" applyFill="1" applyBorder="1"/>
    <xf numFmtId="0" fontId="6" fillId="2" borderId="72" xfId="0" applyFont="1" applyFill="1" applyBorder="1"/>
    <xf numFmtId="43" fontId="6" fillId="2" borderId="72" xfId="0" applyNumberFormat="1" applyFont="1" applyFill="1" applyBorder="1"/>
    <xf numFmtId="43" fontId="6" fillId="2" borderId="74" xfId="0" applyNumberFormat="1" applyFont="1" applyFill="1" applyBorder="1"/>
    <xf numFmtId="0" fontId="11" fillId="21" borderId="80" xfId="0" applyFont="1" applyFill="1" applyBorder="1" applyAlignment="1">
      <alignment horizontal="center"/>
    </xf>
    <xf numFmtId="0" fontId="11" fillId="21" borderId="81" xfId="0" applyFont="1" applyFill="1" applyBorder="1" applyAlignment="1">
      <alignment horizontal="center"/>
    </xf>
    <xf numFmtId="0" fontId="11" fillId="21" borderId="82" xfId="0" applyFont="1" applyFill="1" applyBorder="1" applyAlignment="1">
      <alignment horizontal="center"/>
    </xf>
    <xf numFmtId="0" fontId="11" fillId="21" borderId="84" xfId="0" applyFont="1" applyFill="1" applyBorder="1" applyAlignment="1">
      <alignment horizontal="center"/>
    </xf>
    <xf numFmtId="0" fontId="11" fillId="21" borderId="85" xfId="0" applyFont="1" applyFill="1" applyBorder="1" applyAlignment="1">
      <alignment horizontal="center"/>
    </xf>
    <xf numFmtId="0" fontId="11" fillId="21" borderId="86" xfId="0" applyFont="1" applyFill="1" applyBorder="1" applyAlignment="1">
      <alignment horizontal="center"/>
    </xf>
    <xf numFmtId="0" fontId="6" fillId="21" borderId="80" xfId="0" applyFont="1" applyFill="1" applyBorder="1"/>
    <xf numFmtId="0" fontId="6" fillId="21" borderId="81" xfId="0" applyFont="1" applyFill="1" applyBorder="1"/>
    <xf numFmtId="0" fontId="6" fillId="21" borderId="82" xfId="0" applyFont="1" applyFill="1" applyBorder="1"/>
    <xf numFmtId="0" fontId="6" fillId="21" borderId="84" xfId="0" applyFont="1" applyFill="1" applyBorder="1"/>
    <xf numFmtId="0" fontId="6" fillId="21" borderId="85" xfId="0" applyFont="1" applyFill="1" applyBorder="1"/>
    <xf numFmtId="0" fontId="6" fillId="21" borderId="86" xfId="0" applyFont="1" applyFill="1" applyBorder="1"/>
    <xf numFmtId="0" fontId="6" fillId="4" borderId="80" xfId="0" applyFont="1" applyFill="1" applyBorder="1"/>
    <xf numFmtId="0" fontId="6" fillId="4" borderId="81" xfId="0" applyFont="1" applyFill="1" applyBorder="1"/>
    <xf numFmtId="0" fontId="6" fillId="4" borderId="82" xfId="0" applyFont="1" applyFill="1" applyBorder="1"/>
    <xf numFmtId="0" fontId="6" fillId="4" borderId="84" xfId="0" applyFont="1" applyFill="1" applyBorder="1"/>
    <xf numFmtId="0" fontId="6" fillId="4" borderId="85" xfId="0" applyFont="1" applyFill="1" applyBorder="1"/>
    <xf numFmtId="0" fontId="6" fillId="4" borderId="86" xfId="0" applyFont="1" applyFill="1" applyBorder="1"/>
    <xf numFmtId="0" fontId="11" fillId="4" borderId="80" xfId="0" applyFont="1" applyFill="1" applyBorder="1" applyAlignment="1">
      <alignment horizontal="center"/>
    </xf>
    <xf numFmtId="0" fontId="11" fillId="4" borderId="81" xfId="0" applyFont="1" applyFill="1" applyBorder="1" applyAlignment="1">
      <alignment horizontal="center"/>
    </xf>
    <xf numFmtId="0" fontId="11" fillId="4" borderId="82" xfId="0" applyFont="1" applyFill="1" applyBorder="1" applyAlignment="1">
      <alignment horizontal="center"/>
    </xf>
    <xf numFmtId="0" fontId="11" fillId="4" borderId="84" xfId="0" applyFont="1" applyFill="1" applyBorder="1" applyAlignment="1">
      <alignment horizontal="center"/>
    </xf>
    <xf numFmtId="0" fontId="11" fillId="4" borderId="85" xfId="0" applyFont="1" applyFill="1" applyBorder="1" applyAlignment="1">
      <alignment horizontal="center"/>
    </xf>
    <xf numFmtId="0" fontId="11" fillId="4" borderId="86" xfId="0" applyFont="1" applyFill="1" applyBorder="1" applyAlignment="1">
      <alignment horizontal="center"/>
    </xf>
    <xf numFmtId="0" fontId="11" fillId="27" borderId="134" xfId="0" applyFont="1" applyFill="1" applyBorder="1" applyAlignment="1">
      <alignment horizontal="center"/>
    </xf>
    <xf numFmtId="0" fontId="11" fillId="27" borderId="135" xfId="0" applyFont="1" applyFill="1" applyBorder="1" applyAlignment="1">
      <alignment horizontal="center"/>
    </xf>
    <xf numFmtId="0" fontId="6" fillId="27" borderId="134" xfId="0" applyFont="1" applyFill="1" applyBorder="1"/>
    <xf numFmtId="0" fontId="6" fillId="27" borderId="135" xfId="0" applyFont="1" applyFill="1" applyBorder="1"/>
    <xf numFmtId="0" fontId="12" fillId="0" borderId="0" xfId="4" applyFont="1"/>
    <xf numFmtId="0" fontId="12" fillId="0" borderId="0" xfId="4" applyFont="1" applyAlignment="1">
      <alignment horizontal="center"/>
    </xf>
    <xf numFmtId="169" fontId="6" fillId="7" borderId="81" xfId="0" applyNumberFormat="1" applyFont="1" applyFill="1" applyBorder="1"/>
    <xf numFmtId="0" fontId="6" fillId="7" borderId="81" xfId="0" applyFont="1" applyFill="1" applyBorder="1"/>
    <xf numFmtId="0" fontId="6" fillId="7" borderId="82" xfId="0" applyFont="1" applyFill="1" applyBorder="1"/>
    <xf numFmtId="0" fontId="6" fillId="7" borderId="83" xfId="0" applyFont="1" applyFill="1" applyBorder="1"/>
    <xf numFmtId="169" fontId="6" fillId="7" borderId="12" xfId="0" applyNumberFormat="1" applyFont="1" applyFill="1" applyBorder="1"/>
    <xf numFmtId="0" fontId="6" fillId="7" borderId="12" xfId="0" applyFont="1" applyFill="1" applyBorder="1"/>
    <xf numFmtId="0" fontId="6" fillId="7" borderId="73" xfId="0" applyFont="1" applyFill="1" applyBorder="1"/>
    <xf numFmtId="0" fontId="6" fillId="7" borderId="84" xfId="0" applyFont="1" applyFill="1" applyBorder="1"/>
    <xf numFmtId="169" fontId="6" fillId="7" borderId="85" xfId="0" applyNumberFormat="1" applyFont="1" applyFill="1" applyBorder="1"/>
    <xf numFmtId="0" fontId="6" fillId="7" borderId="85" xfId="0" applyFont="1" applyFill="1" applyBorder="1"/>
    <xf numFmtId="0" fontId="6" fillId="7" borderId="86" xfId="0" applyFont="1" applyFill="1" applyBorder="1"/>
    <xf numFmtId="169" fontId="6" fillId="7" borderId="88" xfId="0" applyNumberFormat="1" applyFont="1" applyFill="1" applyBorder="1"/>
    <xf numFmtId="0" fontId="6" fillId="7" borderId="88" xfId="0" applyFont="1" applyFill="1" applyBorder="1"/>
    <xf numFmtId="0" fontId="6" fillId="7" borderId="89" xfId="0" applyFont="1" applyFill="1" applyBorder="1"/>
    <xf numFmtId="169" fontId="6" fillId="7" borderId="117" xfId="0" applyNumberFormat="1" applyFont="1" applyFill="1" applyBorder="1"/>
    <xf numFmtId="0" fontId="6" fillId="7" borderId="117" xfId="0" applyFont="1" applyFill="1" applyBorder="1"/>
    <xf numFmtId="0" fontId="6" fillId="7" borderId="118" xfId="0" applyFont="1" applyFill="1" applyBorder="1"/>
    <xf numFmtId="0" fontId="37" fillId="30" borderId="87" xfId="0" applyFont="1" applyFill="1" applyBorder="1"/>
    <xf numFmtId="0" fontId="37" fillId="30" borderId="88" xfId="0" applyFont="1" applyFill="1" applyBorder="1"/>
    <xf numFmtId="0" fontId="37" fillId="30" borderId="89" xfId="0" applyFont="1" applyFill="1" applyBorder="1"/>
    <xf numFmtId="0" fontId="11" fillId="7" borderId="80" xfId="0" applyFont="1" applyFill="1" applyBorder="1"/>
    <xf numFmtId="0" fontId="11" fillId="7" borderId="87" xfId="0" applyFont="1" applyFill="1" applyBorder="1"/>
    <xf numFmtId="0" fontId="11" fillId="7" borderId="114" xfId="0" applyFont="1" applyFill="1" applyBorder="1"/>
    <xf numFmtId="0" fontId="30" fillId="0" borderId="0" xfId="0" applyFont="1" applyAlignment="1">
      <alignment horizontal="center"/>
    </xf>
    <xf numFmtId="0" fontId="47" fillId="0" borderId="0" xfId="0" applyFont="1"/>
    <xf numFmtId="0" fontId="30" fillId="0" borderId="0" xfId="0" applyFont="1" applyAlignment="1">
      <alignment horizontal="center" vertical="center"/>
    </xf>
    <xf numFmtId="169" fontId="7" fillId="0" borderId="2" xfId="0" applyNumberFormat="1" applyFont="1" applyBorder="1"/>
    <xf numFmtId="169" fontId="7" fillId="0" borderId="7" xfId="0" applyNumberFormat="1" applyFont="1" applyBorder="1"/>
    <xf numFmtId="169" fontId="8" fillId="0" borderId="2" xfId="0" applyNumberFormat="1" applyFont="1" applyBorder="1"/>
    <xf numFmtId="169" fontId="8" fillId="0" borderId="7" xfId="0" applyNumberFormat="1" applyFont="1" applyBorder="1"/>
    <xf numFmtId="169" fontId="13" fillId="0" borderId="2" xfId="0" applyNumberFormat="1" applyFont="1" applyBorder="1"/>
    <xf numFmtId="169" fontId="13" fillId="0" borderId="7" xfId="0" applyNumberFormat="1" applyFont="1" applyBorder="1"/>
    <xf numFmtId="169" fontId="13" fillId="0" borderId="9" xfId="0" applyNumberFormat="1" applyFont="1" applyBorder="1"/>
    <xf numFmtId="169" fontId="13" fillId="0" borderId="10" xfId="0" applyNumberFormat="1" applyFont="1" applyBorder="1"/>
    <xf numFmtId="169" fontId="7" fillId="0" borderId="12" xfId="0" applyNumberFormat="1" applyFont="1" applyBorder="1"/>
    <xf numFmtId="169" fontId="7" fillId="0" borderId="19" xfId="0" applyNumberFormat="1" applyFont="1" applyBorder="1"/>
    <xf numFmtId="169" fontId="8" fillId="0" borderId="12" xfId="0" applyNumberFormat="1" applyFont="1" applyBorder="1"/>
    <xf numFmtId="169" fontId="8" fillId="0" borderId="19" xfId="0" applyNumberFormat="1" applyFont="1" applyBorder="1"/>
    <xf numFmtId="169" fontId="10" fillId="0" borderId="12" xfId="0" applyNumberFormat="1" applyFont="1" applyBorder="1"/>
    <xf numFmtId="169" fontId="10" fillId="0" borderId="19" xfId="0" applyNumberFormat="1" applyFont="1" applyBorder="1"/>
    <xf numFmtId="169" fontId="9" fillId="0" borderId="12" xfId="0" applyNumberFormat="1" applyFont="1" applyBorder="1"/>
    <xf numFmtId="169" fontId="9" fillId="0" borderId="19" xfId="0" applyNumberFormat="1" applyFont="1" applyBorder="1"/>
    <xf numFmtId="169" fontId="9" fillId="0" borderId="21" xfId="0" applyNumberFormat="1" applyFont="1" applyBorder="1"/>
    <xf numFmtId="169" fontId="9" fillId="0" borderId="22" xfId="0" applyNumberFormat="1" applyFont="1" applyBorder="1"/>
    <xf numFmtId="0" fontId="8" fillId="0" borderId="20" xfId="0" applyFont="1" applyBorder="1"/>
    <xf numFmtId="169" fontId="11" fillId="0" borderId="21" xfId="0" applyNumberFormat="1" applyFont="1" applyBorder="1"/>
    <xf numFmtId="169" fontId="11" fillId="0" borderId="22" xfId="0" applyNumberFormat="1" applyFont="1" applyBorder="1"/>
    <xf numFmtId="9" fontId="6" fillId="0" borderId="70" xfId="0" applyNumberFormat="1" applyFont="1" applyBorder="1"/>
    <xf numFmtId="0" fontId="6" fillId="0" borderId="69" xfId="0" applyFont="1" applyBorder="1" applyAlignment="1">
      <alignment horizontal="right"/>
    </xf>
    <xf numFmtId="0" fontId="6" fillId="0" borderId="71" xfId="0" applyFont="1" applyBorder="1"/>
    <xf numFmtId="0" fontId="6" fillId="0" borderId="72" xfId="0" applyFont="1" applyBorder="1" applyAlignment="1">
      <alignment wrapText="1"/>
    </xf>
    <xf numFmtId="0" fontId="6" fillId="0" borderId="74" xfId="0" applyFont="1" applyBorder="1"/>
    <xf numFmtId="0" fontId="6" fillId="0" borderId="0" xfId="0" applyFont="1" applyAlignment="1">
      <alignment wrapText="1"/>
    </xf>
    <xf numFmtId="0" fontId="6" fillId="0" borderId="83" xfId="0" applyFont="1" applyBorder="1" applyAlignment="1">
      <alignment horizontal="right"/>
    </xf>
    <xf numFmtId="0" fontId="12" fillId="0" borderId="73" xfId="0" applyFont="1" applyBorder="1" applyAlignment="1">
      <alignment horizontal="center"/>
    </xf>
    <xf numFmtId="0" fontId="6" fillId="0" borderId="130" xfId="0" applyFont="1" applyBorder="1" applyAlignment="1">
      <alignment horizontal="right"/>
    </xf>
    <xf numFmtId="0" fontId="11" fillId="0" borderId="87" xfId="0" applyFont="1" applyBorder="1" applyAlignment="1">
      <alignment vertical="center"/>
    </xf>
    <xf numFmtId="0" fontId="11" fillId="0" borderId="88" xfId="0" applyFont="1" applyBorder="1" applyAlignment="1">
      <alignment horizontal="center" vertical="center"/>
    </xf>
    <xf numFmtId="0" fontId="11" fillId="0" borderId="89" xfId="0" applyFont="1" applyBorder="1" applyAlignment="1">
      <alignment horizontal="center" vertical="center" wrapText="1"/>
    </xf>
    <xf numFmtId="0" fontId="22" fillId="0" borderId="0" xfId="3" applyAlignment="1">
      <alignment horizontal="left" wrapText="1"/>
    </xf>
    <xf numFmtId="0" fontId="22" fillId="0" borderId="0" xfId="3" applyAlignment="1">
      <alignment horizontal="left" vertical="top" wrapText="1"/>
    </xf>
    <xf numFmtId="0" fontId="12" fillId="27" borderId="121" xfId="0" applyFont="1" applyFill="1" applyBorder="1" applyAlignment="1">
      <alignment horizontal="center" vertical="center"/>
    </xf>
    <xf numFmtId="0" fontId="48" fillId="27" borderId="89" xfId="0" applyFont="1" applyFill="1" applyBorder="1" applyAlignment="1">
      <alignment horizontal="center" vertical="center"/>
    </xf>
    <xf numFmtId="10" fontId="0" fillId="0" borderId="0" xfId="0" applyNumberFormat="1"/>
    <xf numFmtId="44" fontId="0" fillId="0" borderId="122" xfId="0" applyNumberFormat="1" applyBorder="1"/>
    <xf numFmtId="0" fontId="0" fillId="0" borderId="98" xfId="0" applyBorder="1"/>
    <xf numFmtId="0" fontId="41" fillId="25" borderId="0" xfId="0" applyFont="1" applyFill="1" applyAlignment="1">
      <alignment horizontal="left"/>
    </xf>
    <xf numFmtId="10" fontId="0" fillId="26" borderId="0" xfId="0" applyNumberFormat="1" applyFill="1"/>
    <xf numFmtId="0" fontId="44" fillId="0" borderId="0" xfId="0" applyFont="1" applyAlignment="1">
      <alignment vertical="top" wrapText="1"/>
    </xf>
    <xf numFmtId="0" fontId="8" fillId="0" borderId="87" xfId="0" applyFont="1" applyBorder="1" applyAlignment="1">
      <alignment horizontal="center"/>
    </xf>
    <xf numFmtId="0" fontId="8" fillId="0" borderId="88" xfId="0" applyFont="1" applyBorder="1" applyAlignment="1">
      <alignment horizontal="center"/>
    </xf>
    <xf numFmtId="0" fontId="8" fillId="0" borderId="89" xfId="0" applyFont="1" applyBorder="1" applyAlignment="1">
      <alignment horizontal="center"/>
    </xf>
    <xf numFmtId="0" fontId="8" fillId="0" borderId="35" xfId="0" applyFont="1" applyBorder="1" applyAlignment="1">
      <alignment horizontal="center" vertical="center"/>
    </xf>
    <xf numFmtId="0" fontId="8" fillId="0" borderId="114" xfId="0" applyFont="1" applyBorder="1" applyAlignment="1">
      <alignment horizontal="center" vertical="center"/>
    </xf>
    <xf numFmtId="0" fontId="8" fillId="0" borderId="55" xfId="0" applyFont="1" applyBorder="1" applyAlignment="1">
      <alignment horizontal="center" vertical="center"/>
    </xf>
    <xf numFmtId="0" fontId="8" fillId="0" borderId="107" xfId="0" applyFont="1" applyBorder="1" applyAlignment="1">
      <alignment horizontal="center" vertical="center"/>
    </xf>
    <xf numFmtId="0" fontId="8" fillId="0" borderId="108" xfId="0" applyFont="1" applyBorder="1" applyAlignment="1">
      <alignment horizontal="center" vertical="center"/>
    </xf>
    <xf numFmtId="0" fontId="13" fillId="0" borderId="75" xfId="0" applyFont="1" applyBorder="1" applyAlignment="1">
      <alignment horizontal="center"/>
    </xf>
    <xf numFmtId="0" fontId="13" fillId="0" borderId="78" xfId="0" applyFont="1" applyBorder="1" applyAlignment="1">
      <alignment horizontal="center"/>
    </xf>
    <xf numFmtId="0" fontId="13" fillId="0" borderId="79" xfId="0" applyFont="1" applyBorder="1" applyAlignment="1">
      <alignment horizontal="center"/>
    </xf>
    <xf numFmtId="0" fontId="25" fillId="16" borderId="75" xfId="0" applyFont="1" applyFill="1" applyBorder="1" applyAlignment="1">
      <alignment horizontal="center"/>
    </xf>
    <xf numFmtId="0" fontId="25" fillId="16" borderId="78" xfId="0" applyFont="1" applyFill="1" applyBorder="1" applyAlignment="1">
      <alignment horizontal="center"/>
    </xf>
    <xf numFmtId="0" fontId="25" fillId="16" borderId="79" xfId="0" applyFont="1" applyFill="1" applyBorder="1" applyAlignment="1">
      <alignment horizontal="center"/>
    </xf>
    <xf numFmtId="0" fontId="13" fillId="0" borderId="32" xfId="0" applyFont="1" applyBorder="1" applyAlignment="1">
      <alignment horizontal="center"/>
    </xf>
    <xf numFmtId="0" fontId="13" fillId="0" borderId="33" xfId="0" applyFont="1" applyBorder="1" applyAlignment="1">
      <alignment horizontal="center"/>
    </xf>
    <xf numFmtId="0" fontId="13" fillId="0" borderId="34" xfId="0" applyFont="1" applyBorder="1" applyAlignment="1">
      <alignment horizontal="center"/>
    </xf>
    <xf numFmtId="0" fontId="12" fillId="0" borderId="32" xfId="0" applyFont="1" applyBorder="1" applyAlignment="1">
      <alignment horizontal="center"/>
    </xf>
    <xf numFmtId="0" fontId="12" fillId="0" borderId="33" xfId="0" applyFont="1" applyBorder="1" applyAlignment="1">
      <alignment horizontal="center"/>
    </xf>
    <xf numFmtId="0" fontId="12" fillId="0" borderId="34" xfId="0" applyFont="1" applyBorder="1" applyAlignment="1">
      <alignment horizontal="center"/>
    </xf>
    <xf numFmtId="0" fontId="11" fillId="0" borderId="26" xfId="0" applyFont="1" applyBorder="1" applyAlignment="1">
      <alignment horizontal="center"/>
    </xf>
    <xf numFmtId="0" fontId="11" fillId="0" borderId="27" xfId="0" applyFont="1" applyBorder="1" applyAlignment="1">
      <alignment horizontal="center"/>
    </xf>
    <xf numFmtId="0" fontId="11" fillId="0" borderId="28" xfId="0" applyFont="1" applyBorder="1" applyAlignment="1">
      <alignment horizontal="center"/>
    </xf>
    <xf numFmtId="0" fontId="12" fillId="0" borderId="75" xfId="0" applyFont="1" applyBorder="1" applyAlignment="1">
      <alignment horizontal="center"/>
    </xf>
    <xf numFmtId="0" fontId="12" fillId="0" borderId="78" xfId="0" applyFont="1" applyBorder="1" applyAlignment="1">
      <alignment horizontal="center"/>
    </xf>
    <xf numFmtId="0" fontId="12" fillId="0" borderId="79" xfId="0" applyFont="1" applyBorder="1" applyAlignment="1">
      <alignment horizontal="center"/>
    </xf>
    <xf numFmtId="0" fontId="6" fillId="0" borderId="138" xfId="0" applyFont="1" applyBorder="1" applyAlignment="1">
      <alignment horizontal="right" vertical="center"/>
    </xf>
    <xf numFmtId="0" fontId="6" fillId="0" borderId="130" xfId="0" applyFont="1" applyBorder="1" applyAlignment="1">
      <alignment horizontal="right" vertical="center"/>
    </xf>
    <xf numFmtId="0" fontId="12" fillId="0" borderId="80" xfId="0" applyFont="1" applyBorder="1" applyAlignment="1">
      <alignment horizontal="center"/>
    </xf>
    <xf numFmtId="0" fontId="12" fillId="0" borderId="81" xfId="0" applyFont="1" applyBorder="1" applyAlignment="1">
      <alignment horizontal="center"/>
    </xf>
    <xf numFmtId="0" fontId="12" fillId="0" borderId="82" xfId="0" applyFont="1" applyBorder="1" applyAlignment="1">
      <alignment horizontal="center"/>
    </xf>
    <xf numFmtId="0" fontId="6" fillId="0" borderId="139" xfId="0" applyFont="1" applyBorder="1" applyAlignment="1">
      <alignment horizontal="right"/>
    </xf>
    <xf numFmtId="0" fontId="6" fillId="0" borderId="64" xfId="0" applyFont="1" applyBorder="1" applyAlignment="1">
      <alignment horizontal="right"/>
    </xf>
    <xf numFmtId="0" fontId="22" fillId="0" borderId="0" xfId="3" applyAlignment="1">
      <alignment horizontal="left" vertical="top" wrapText="1"/>
    </xf>
    <xf numFmtId="0" fontId="6" fillId="0" borderId="0" xfId="0" applyFont="1" applyAlignment="1">
      <alignment horizontal="center"/>
    </xf>
    <xf numFmtId="0" fontId="22" fillId="0" borderId="0" xfId="3" applyAlignment="1">
      <alignment horizontal="left" wrapText="1"/>
    </xf>
    <xf numFmtId="0" fontId="6" fillId="0" borderId="138" xfId="0" applyFont="1" applyBorder="1" applyAlignment="1">
      <alignment horizontal="right"/>
    </xf>
    <xf numFmtId="0" fontId="6" fillId="0" borderId="130" xfId="0" applyFont="1" applyBorder="1" applyAlignment="1">
      <alignment horizontal="right"/>
    </xf>
    <xf numFmtId="0" fontId="6" fillId="0" borderId="58" xfId="0" applyFont="1" applyBorder="1" applyAlignment="1">
      <alignment horizontal="center" wrapText="1"/>
    </xf>
    <xf numFmtId="0" fontId="6" fillId="0" borderId="0" xfId="0" applyFont="1" applyAlignment="1">
      <alignment horizontal="center" wrapText="1"/>
    </xf>
    <xf numFmtId="0" fontId="13" fillId="4" borderId="27" xfId="0" applyFont="1" applyFill="1" applyBorder="1" applyAlignment="1">
      <alignment horizontal="center"/>
    </xf>
    <xf numFmtId="0" fontId="18" fillId="8" borderId="142" xfId="0" applyFont="1" applyFill="1" applyBorder="1" applyAlignment="1">
      <alignment horizontal="center"/>
    </xf>
    <xf numFmtId="0" fontId="18" fillId="8" borderId="143" xfId="0" applyFont="1" applyFill="1" applyBorder="1" applyAlignment="1">
      <alignment horizontal="center"/>
    </xf>
    <xf numFmtId="0" fontId="18" fillId="8" borderId="144" xfId="0" applyFont="1" applyFill="1" applyBorder="1" applyAlignment="1">
      <alignment horizontal="center"/>
    </xf>
    <xf numFmtId="0" fontId="18" fillId="5" borderId="147" xfId="0" applyFont="1" applyFill="1" applyBorder="1" applyAlignment="1">
      <alignment horizontal="center"/>
    </xf>
    <xf numFmtId="0" fontId="18" fillId="5" borderId="148" xfId="0" applyFont="1" applyFill="1" applyBorder="1" applyAlignment="1">
      <alignment horizontal="center"/>
    </xf>
    <xf numFmtId="0" fontId="18" fillId="5" borderId="149" xfId="0" applyFont="1" applyFill="1" applyBorder="1" applyAlignment="1">
      <alignment horizontal="center"/>
    </xf>
    <xf numFmtId="0" fontId="18" fillId="11" borderId="110" xfId="0" applyFont="1" applyFill="1" applyBorder="1" applyAlignment="1">
      <alignment horizontal="center"/>
    </xf>
    <xf numFmtId="0" fontId="18" fillId="11" borderId="109" xfId="0" applyFont="1" applyFill="1" applyBorder="1" applyAlignment="1">
      <alignment horizontal="center"/>
    </xf>
    <xf numFmtId="0" fontId="18" fillId="11" borderId="5" xfId="0" applyFont="1" applyFill="1" applyBorder="1" applyAlignment="1">
      <alignment horizontal="center"/>
    </xf>
    <xf numFmtId="0" fontId="15" fillId="13" borderId="75" xfId="0" applyFont="1" applyFill="1" applyBorder="1" applyAlignment="1">
      <alignment horizontal="center"/>
    </xf>
    <xf numFmtId="0" fontId="15" fillId="13" borderId="78" xfId="0" applyFont="1" applyFill="1" applyBorder="1" applyAlignment="1">
      <alignment horizontal="center"/>
    </xf>
    <xf numFmtId="0" fontId="15" fillId="13" borderId="79" xfId="0" applyFont="1" applyFill="1" applyBorder="1" applyAlignment="1">
      <alignment horizontal="center"/>
    </xf>
    <xf numFmtId="0" fontId="15" fillId="11" borderId="26" xfId="0" applyFont="1" applyFill="1" applyBorder="1" applyAlignment="1">
      <alignment horizontal="center"/>
    </xf>
    <xf numFmtId="0" fontId="15" fillId="11" borderId="27" xfId="0" applyFont="1" applyFill="1" applyBorder="1" applyAlignment="1">
      <alignment horizontal="center"/>
    </xf>
    <xf numFmtId="0" fontId="15" fillId="11" borderId="28" xfId="0" applyFont="1" applyFill="1" applyBorder="1" applyAlignment="1">
      <alignment horizontal="center"/>
    </xf>
    <xf numFmtId="0" fontId="15" fillId="14" borderId="87" xfId="0" applyFont="1" applyFill="1" applyBorder="1" applyAlignment="1">
      <alignment horizontal="center"/>
    </xf>
    <xf numFmtId="0" fontId="15" fillId="14" borderId="88" xfId="0" applyFont="1" applyFill="1" applyBorder="1" applyAlignment="1">
      <alignment horizontal="center"/>
    </xf>
    <xf numFmtId="0" fontId="15" fillId="14" borderId="89" xfId="0" applyFont="1" applyFill="1" applyBorder="1" applyAlignment="1">
      <alignment horizontal="center"/>
    </xf>
    <xf numFmtId="0" fontId="12" fillId="0" borderId="103" xfId="0" applyFont="1" applyBorder="1" applyAlignment="1">
      <alignment horizontal="center"/>
    </xf>
    <xf numFmtId="0" fontId="12" fillId="0" borderId="113" xfId="0" applyFont="1" applyBorder="1" applyAlignment="1">
      <alignment horizontal="center"/>
    </xf>
    <xf numFmtId="0" fontId="12" fillId="0" borderId="104" xfId="0" applyFont="1" applyBorder="1" applyAlignment="1">
      <alignment horizontal="center"/>
    </xf>
    <xf numFmtId="0" fontId="12" fillId="21" borderId="100" xfId="0" applyFont="1" applyFill="1" applyBorder="1" applyAlignment="1">
      <alignment horizontal="center" vertical="center"/>
    </xf>
    <xf numFmtId="0" fontId="12" fillId="21" borderId="119" xfId="0" applyFont="1" applyFill="1" applyBorder="1" applyAlignment="1">
      <alignment horizontal="center" vertical="center"/>
    </xf>
    <xf numFmtId="0" fontId="12" fillId="4" borderId="120" xfId="0" applyFont="1" applyFill="1" applyBorder="1" applyAlignment="1">
      <alignment horizontal="center" vertical="center"/>
    </xf>
    <xf numFmtId="0" fontId="12" fillId="4" borderId="119" xfId="0" applyFont="1" applyFill="1" applyBorder="1" applyAlignment="1">
      <alignment horizontal="center" vertical="center"/>
    </xf>
    <xf numFmtId="0" fontId="48" fillId="4" borderId="88" xfId="0" applyFont="1" applyFill="1" applyBorder="1" applyAlignment="1">
      <alignment horizontal="center"/>
    </xf>
    <xf numFmtId="0" fontId="11" fillId="0" borderId="41" xfId="0" applyFont="1" applyBorder="1" applyAlignment="1">
      <alignment horizontal="center"/>
    </xf>
    <xf numFmtId="0" fontId="11" fillId="0" borderId="42" xfId="0" applyFont="1" applyBorder="1" applyAlignment="1">
      <alignment horizontal="center"/>
    </xf>
    <xf numFmtId="0" fontId="11" fillId="0" borderId="43" xfId="0" applyFont="1" applyBorder="1" applyAlignment="1">
      <alignment horizontal="center"/>
    </xf>
    <xf numFmtId="0" fontId="11" fillId="0" borderId="64" xfId="0" applyFont="1" applyBorder="1" applyAlignment="1">
      <alignment horizontal="center" vertical="center" textRotation="90" wrapText="1"/>
    </xf>
    <xf numFmtId="0" fontId="11" fillId="0" borderId="69" xfId="0" applyFont="1" applyBorder="1" applyAlignment="1">
      <alignment horizontal="center" vertical="center" textRotation="90" wrapText="1"/>
    </xf>
    <xf numFmtId="0" fontId="11" fillId="0" borderId="71" xfId="0" applyFont="1" applyBorder="1" applyAlignment="1">
      <alignment horizontal="center" vertical="center" textRotation="90" wrapText="1"/>
    </xf>
    <xf numFmtId="0" fontId="11" fillId="0" borderId="11" xfId="0" applyFont="1" applyBorder="1" applyAlignment="1">
      <alignment horizontal="center"/>
    </xf>
    <xf numFmtId="0" fontId="11" fillId="0" borderId="105" xfId="0" applyFont="1" applyBorder="1" applyAlignment="1">
      <alignment horizontal="center"/>
    </xf>
    <xf numFmtId="0" fontId="11" fillId="0" borderId="103" xfId="0" applyFont="1" applyBorder="1" applyAlignment="1">
      <alignment horizontal="center"/>
    </xf>
    <xf numFmtId="0" fontId="11" fillId="0" borderId="113" xfId="0" applyFont="1" applyBorder="1" applyAlignment="1">
      <alignment horizontal="center"/>
    </xf>
    <xf numFmtId="0" fontId="11" fillId="0" borderId="104" xfId="0" applyFont="1" applyBorder="1" applyAlignment="1">
      <alignment horizontal="center"/>
    </xf>
    <xf numFmtId="0" fontId="48" fillId="21" borderId="87" xfId="0" applyFont="1" applyFill="1" applyBorder="1" applyAlignment="1">
      <alignment horizontal="center"/>
    </xf>
    <xf numFmtId="0" fontId="48" fillId="21" borderId="88" xfId="0" applyFont="1" applyFill="1" applyBorder="1" applyAlignment="1">
      <alignment horizontal="center"/>
    </xf>
    <xf numFmtId="0" fontId="11" fillId="0" borderId="97" xfId="0" applyFont="1" applyBorder="1" applyAlignment="1">
      <alignment horizontal="center" vertical="center"/>
    </xf>
    <xf numFmtId="0" fontId="11" fillId="0" borderId="59" xfId="0" applyFont="1" applyBorder="1" applyAlignment="1">
      <alignment horizontal="center" vertical="center"/>
    </xf>
    <xf numFmtId="0" fontId="11" fillId="0" borderId="94" xfId="0" applyFont="1" applyBorder="1" applyAlignment="1">
      <alignment horizontal="center" vertical="center"/>
    </xf>
    <xf numFmtId="0" fontId="12" fillId="0" borderId="41" xfId="0" applyFont="1" applyBorder="1" applyAlignment="1">
      <alignment horizontal="center"/>
    </xf>
    <xf numFmtId="0" fontId="12" fillId="0" borderId="42" xfId="0" applyFont="1" applyBorder="1" applyAlignment="1">
      <alignment horizontal="center"/>
    </xf>
    <xf numFmtId="0" fontId="12" fillId="0" borderId="43" xfId="0" applyFont="1" applyBorder="1" applyAlignment="1">
      <alignment horizontal="center"/>
    </xf>
    <xf numFmtId="0" fontId="11" fillId="0" borderId="29" xfId="0" applyFont="1" applyBorder="1" applyAlignment="1">
      <alignment horizontal="center"/>
    </xf>
    <xf numFmtId="0" fontId="11" fillId="0" borderId="30" xfId="0" applyFont="1" applyBorder="1" applyAlignment="1">
      <alignment horizontal="center"/>
    </xf>
    <xf numFmtId="0" fontId="11" fillId="0" borderId="31" xfId="0" applyFont="1" applyBorder="1" applyAlignment="1">
      <alignment horizontal="center"/>
    </xf>
    <xf numFmtId="0" fontId="46" fillId="28" borderId="0" xfId="4" applyFont="1" applyFill="1" applyAlignment="1">
      <alignment horizontal="center" vertical="center" wrapText="1"/>
    </xf>
    <xf numFmtId="0" fontId="15" fillId="29" borderId="147" xfId="0" applyFont="1" applyFill="1" applyBorder="1" applyAlignment="1">
      <alignment horizontal="center"/>
    </xf>
    <xf numFmtId="0" fontId="15" fillId="29" borderId="148" xfId="0" applyFont="1" applyFill="1" applyBorder="1" applyAlignment="1">
      <alignment horizontal="center"/>
    </xf>
    <xf numFmtId="0" fontId="15" fillId="29" borderId="160" xfId="0" applyFont="1" applyFill="1" applyBorder="1" applyAlignment="1">
      <alignment horizontal="center"/>
    </xf>
  </cellXfs>
  <cellStyles count="5">
    <cellStyle name="Comma" xfId="2" builtinId="3"/>
    <cellStyle name="Hyperlink" xfId="3" builtinId="8"/>
    <cellStyle name="Normal" xfId="0" builtinId="0"/>
    <cellStyle name="Normal 2" xfId="4" xr:uid="{D625F90F-37B0-44C9-AC2A-BAC8E546C7E1}"/>
    <cellStyle name="Percent" xfId="1" builtinId="5"/>
  </cellStyles>
  <dxfs count="0"/>
  <tableStyles count="0" defaultTableStyle="TableStyleMedium2" defaultPivotStyle="PivotStyleLight16"/>
  <colors>
    <mruColors>
      <color rgb="FFCC3300"/>
      <color rgb="FFFF7043"/>
      <color rgb="FFA50021"/>
      <color rgb="FF993366"/>
      <color rgb="FFF4C2F3"/>
      <color rgb="FFAEDE82"/>
      <color rgb="FFDBB7FF"/>
      <color rgb="FF048A54"/>
      <color rgb="FFF78937"/>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persons/person.xml><?xml version="1.0" encoding="utf-8"?>
<personList xmlns="http://schemas.microsoft.com/office/spreadsheetml/2018/threadedcomments" xmlns:x="http://schemas.openxmlformats.org/spreadsheetml/2006/main">
  <person displayName="Devak Patel" id="{E08621D6-6AE2-406A-8ACF-C306AEFAD889}" userId="0c0ddd24c6e3270a" providerId="Windows Live"/>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A115" dT="2023-03-03T07:06:35.72" personId="{E08621D6-6AE2-406A-8ACF-C306AEFAD889}" id="{3A380422-DF03-49E6-A46D-6405D3DFC1D4}">
    <text>Reserves and Surplus of 2018-2022 is hard Coded. And Reserves and Surplus of  2023-2017 is estimated from Previous Reserve -Buy Back Premium-(Net Income-Divdend)</text>
  </threadedComment>
  <threadedComment ref="I115" dT="2023-03-03T10:31:41.22" personId="{E08621D6-6AE2-406A-8ACF-C306AEFAD889}" id="{936CCCB5-BD6E-4ED5-87CD-BA5267E8B824}">
    <text>Calculated</text>
  </threadedComment>
</ThreadedComments>
</file>

<file path=xl/worksheets/_rels/sheet2.xml.rels><?xml version="1.0" encoding="UTF-8" standalone="yes"?>
<Relationships xmlns="http://schemas.openxmlformats.org/package/2006/relationships"><Relationship Id="rId8" Type="http://schemas.openxmlformats.org/officeDocument/2006/relationships/hyperlink" Target="https://www.fibre2fashion.com/industry-article/9494/exchange-rate-volatility-and-textile-trade" TargetMode="External"/><Relationship Id="rId13" Type="http://schemas.openxmlformats.org/officeDocument/2006/relationships/hyperlink" Target="https://www.icicidirect.com/mailimages/IDirect_KPR_Q3FY22.pdf" TargetMode="External"/><Relationship Id="rId3" Type="http://schemas.openxmlformats.org/officeDocument/2006/relationships/hyperlink" Target="https://okcredit.in/blog/all-about-the-economy-of-india/" TargetMode="External"/><Relationship Id="rId7" Type="http://schemas.openxmlformats.org/officeDocument/2006/relationships/hyperlink" Target="https://www.investindia.gov.in/sector/textiles-apparel" TargetMode="External"/><Relationship Id="rId12" Type="http://schemas.openxmlformats.org/officeDocument/2006/relationships/hyperlink" Target="https://www.indiantextilemagazine.in/kpr-mill-an-iconic-success-story/" TargetMode="External"/><Relationship Id="rId2" Type="http://schemas.openxmlformats.org/officeDocument/2006/relationships/hyperlink" Target="https://www.financialexpress.com/economy/india-bangladesh-to-start-fta-talks-early/2923881/" TargetMode="External"/><Relationship Id="rId1" Type="http://schemas.openxmlformats.org/officeDocument/2006/relationships/hyperlink" Target="https://timesofindia.indiatimes.com/business/budget/infrastructure-development-capex-hiked-by-33-to-rs-10-lakh-crore-for-2023-24-fm/articleshow/97517443.cms" TargetMode="External"/><Relationship Id="rId6" Type="http://schemas.openxmlformats.org/officeDocument/2006/relationships/hyperlink" Target="https://www.business-standard.com/article/companies/raw-material-price-hike-pinch-india-s-textiles-apparel-exports-in-2022-23-122061900443_1.html" TargetMode="External"/><Relationship Id="rId11" Type="http://schemas.openxmlformats.org/officeDocument/2006/relationships/hyperlink" Target="https://pib.gov.in/PressReleasePage.aspx?PRID=1765737" TargetMode="External"/><Relationship Id="rId5" Type="http://schemas.openxmlformats.org/officeDocument/2006/relationships/hyperlink" Target="https://www.imarcgroup.com/indian-textiles-apparel-market" TargetMode="External"/><Relationship Id="rId10" Type="http://schemas.openxmlformats.org/officeDocument/2006/relationships/hyperlink" Target="https://pli.texmin.gov.in/Guidelines/Approved%20Guidelines%20for%20PLI%20scheme%20for%20Textiles.pdf" TargetMode="External"/><Relationship Id="rId4" Type="http://schemas.openxmlformats.org/officeDocument/2006/relationships/hyperlink" Target="https://economictimes.indiatimes.com/news/economy/finance/indias-slowing-economic-recovery-faces-fresh-geopolitical-risks/articleshow/89884800.cms,%20shorturl.at/cjkwC" TargetMode="External"/><Relationship Id="rId9" Type="http://schemas.openxmlformats.org/officeDocument/2006/relationships/hyperlink" Target="https://fibreguard.com/sell/blog/how-technology-is-changing-the-textile-industry" TargetMode="External"/></Relationships>
</file>

<file path=xl/worksheets/_rels/sheet4.xml.rels><?xml version="1.0" encoding="UTF-8" standalone="yes"?>
<Relationships xmlns="http://schemas.openxmlformats.org/package/2006/relationships"><Relationship Id="rId3" Type="http://schemas.openxmlformats.org/officeDocument/2006/relationships/hyperlink" Target="https://www.statista.com/statistics/263617/gross-domestic-product-gdp-growth-rate-in-india/" TargetMode="External"/><Relationship Id="rId2" Type="http://schemas.openxmlformats.org/officeDocument/2006/relationships/hyperlink" Target="https://www.statista.com/statistics/271322/inflation-rate-in-india/" TargetMode="External"/><Relationship Id="rId1" Type="http://schemas.openxmlformats.org/officeDocument/2006/relationships/hyperlink" Target="https://pmarketresearch.com/yarn-market-research-2021/" TargetMode="External"/></Relationships>
</file>

<file path=xl/worksheets/_rels/sheet5.xml.rels><?xml version="1.0" encoding="UTF-8" standalone="yes"?>
<Relationships xmlns="http://schemas.openxmlformats.org/package/2006/relationships"><Relationship Id="rId3" Type="http://schemas.microsoft.com/office/2017/10/relationships/threadedComment" Target="../threadedComments/threadedComment1.xml"/><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0F0AF5-259B-43C8-B2CA-F14EC81C5C53}">
  <dimension ref="A2:F14"/>
  <sheetViews>
    <sheetView topLeftCell="A9" zoomScale="85" zoomScaleNormal="85" workbookViewId="0">
      <selection activeCell="E19" sqref="E19"/>
    </sheetView>
  </sheetViews>
  <sheetFormatPr defaultColWidth="8.77734375" defaultRowHeight="15.6" x14ac:dyDescent="0.3"/>
  <cols>
    <col min="1" max="1" width="23" style="2" customWidth="1"/>
    <col min="2" max="2" width="27.5546875" style="2" bestFit="1" customWidth="1"/>
    <col min="3" max="3" width="14.109375" style="2" customWidth="1"/>
    <col min="4" max="4" width="18" style="2" bestFit="1" customWidth="1"/>
    <col min="5" max="5" width="18.77734375" style="2" customWidth="1"/>
    <col min="6" max="6" width="19" style="2" customWidth="1"/>
    <col min="7" max="16384" width="8.77734375" style="2"/>
  </cols>
  <sheetData>
    <row r="2" spans="1:6" ht="20.399999999999999" x14ac:dyDescent="0.35">
      <c r="A2" s="684" t="s">
        <v>0</v>
      </c>
      <c r="B2" s="684" t="s">
        <v>1</v>
      </c>
      <c r="C2" s="3"/>
    </row>
    <row r="3" spans="1:6" ht="21" x14ac:dyDescent="0.4">
      <c r="A3" s="685"/>
      <c r="B3" s="685"/>
      <c r="C3" s="3"/>
    </row>
    <row r="4" spans="1:6" ht="20.399999999999999" x14ac:dyDescent="0.3">
      <c r="A4" s="686" t="s">
        <v>2</v>
      </c>
      <c r="B4" s="686">
        <v>4</v>
      </c>
      <c r="C4" s="3"/>
    </row>
    <row r="5" spans="1:6" ht="18.600000000000001" thickBot="1" x14ac:dyDescent="0.4">
      <c r="A5" s="444"/>
      <c r="B5" s="444"/>
      <c r="C5" s="3"/>
    </row>
    <row r="6" spans="1:6" ht="18" thickBot="1" x14ac:dyDescent="0.35">
      <c r="A6" s="738" t="s">
        <v>3</v>
      </c>
      <c r="B6" s="739"/>
      <c r="C6" s="739"/>
      <c r="D6" s="739"/>
      <c r="E6" s="739"/>
      <c r="F6" s="740"/>
    </row>
    <row r="7" spans="1:6" ht="16.2" thickBot="1" x14ac:dyDescent="0.35">
      <c r="A7" s="733" t="s">
        <v>4</v>
      </c>
      <c r="B7" s="735" t="s">
        <v>5</v>
      </c>
      <c r="C7" s="735" t="s">
        <v>6</v>
      </c>
      <c r="D7" s="730" t="s">
        <v>483</v>
      </c>
      <c r="E7" s="731"/>
      <c r="F7" s="732"/>
    </row>
    <row r="8" spans="1:6" ht="16.2" thickBot="1" x14ac:dyDescent="0.35">
      <c r="A8" s="734"/>
      <c r="B8" s="736"/>
      <c r="C8" s="737"/>
      <c r="D8" s="312" t="s">
        <v>504</v>
      </c>
      <c r="E8" s="313" t="s">
        <v>505</v>
      </c>
      <c r="F8" s="314" t="s">
        <v>506</v>
      </c>
    </row>
    <row r="9" spans="1:6" ht="62.4" x14ac:dyDescent="0.3">
      <c r="A9" s="315">
        <v>1</v>
      </c>
      <c r="B9" s="316" t="s">
        <v>7</v>
      </c>
      <c r="C9" s="317">
        <v>74022020084</v>
      </c>
      <c r="D9" s="434" t="s">
        <v>507</v>
      </c>
      <c r="E9" s="435" t="s">
        <v>510</v>
      </c>
      <c r="F9" s="436" t="s">
        <v>513</v>
      </c>
    </row>
    <row r="10" spans="1:6" ht="62.4" x14ac:dyDescent="0.3">
      <c r="A10" s="318">
        <v>2</v>
      </c>
      <c r="B10" s="319" t="s">
        <v>8</v>
      </c>
      <c r="C10" s="320">
        <v>74022019935</v>
      </c>
      <c r="D10" s="437" t="s">
        <v>508</v>
      </c>
      <c r="E10" s="438" t="s">
        <v>511</v>
      </c>
      <c r="F10" s="439" t="s">
        <v>512</v>
      </c>
    </row>
    <row r="11" spans="1:6" ht="62.4" x14ac:dyDescent="0.3">
      <c r="A11" s="318">
        <v>3</v>
      </c>
      <c r="B11" s="319" t="s">
        <v>9</v>
      </c>
      <c r="C11" s="320">
        <v>74022019585</v>
      </c>
      <c r="D11" s="437" t="s">
        <v>509</v>
      </c>
      <c r="E11" s="438" t="s">
        <v>511</v>
      </c>
      <c r="F11" s="439" t="s">
        <v>513</v>
      </c>
    </row>
    <row r="12" spans="1:6" ht="78" x14ac:dyDescent="0.3">
      <c r="A12" s="318">
        <v>4</v>
      </c>
      <c r="B12" s="319" t="s">
        <v>10</v>
      </c>
      <c r="C12" s="320">
        <v>74022019994</v>
      </c>
      <c r="D12" s="437" t="s">
        <v>509</v>
      </c>
      <c r="E12" s="248" t="s">
        <v>514</v>
      </c>
      <c r="F12" s="439" t="s">
        <v>512</v>
      </c>
    </row>
    <row r="13" spans="1:6" ht="62.4" x14ac:dyDescent="0.3">
      <c r="A13" s="318">
        <v>5</v>
      </c>
      <c r="B13" s="319" t="s">
        <v>11</v>
      </c>
      <c r="C13" s="320">
        <v>74022020335</v>
      </c>
      <c r="D13" s="440" t="s">
        <v>508</v>
      </c>
      <c r="E13" s="248" t="s">
        <v>511</v>
      </c>
      <c r="F13" s="439" t="s">
        <v>512</v>
      </c>
    </row>
    <row r="14" spans="1:6" ht="94.2" thickBot="1" x14ac:dyDescent="0.35">
      <c r="A14" s="321">
        <v>6</v>
      </c>
      <c r="B14" s="322" t="s">
        <v>12</v>
      </c>
      <c r="C14" s="323">
        <v>74022020225</v>
      </c>
      <c r="D14" s="441" t="s">
        <v>507</v>
      </c>
      <c r="E14" s="442" t="s">
        <v>515</v>
      </c>
      <c r="F14" s="443" t="s">
        <v>471</v>
      </c>
    </row>
  </sheetData>
  <mergeCells count="5">
    <mergeCell ref="D7:F7"/>
    <mergeCell ref="A7:A8"/>
    <mergeCell ref="B7:B8"/>
    <mergeCell ref="C7:C8"/>
    <mergeCell ref="A6:F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92A30D-A668-4EF3-9056-94986F78A3C2}">
  <sheetPr>
    <tabColor theme="7" tint="0.39997558519241921"/>
  </sheetPr>
  <dimension ref="A1:AA946"/>
  <sheetViews>
    <sheetView zoomScale="70" zoomScaleNormal="100" workbookViewId="0">
      <pane xSplit="3" ySplit="3" topLeftCell="D4" activePane="bottomRight" state="frozen"/>
      <selection pane="topRight" activeCell="D1" sqref="D1"/>
      <selection pane="bottomLeft" activeCell="A4" sqref="A4"/>
      <selection pane="bottomRight" activeCell="E14" sqref="E14"/>
    </sheetView>
  </sheetViews>
  <sheetFormatPr defaultRowHeight="14.4" x14ac:dyDescent="0.3"/>
  <cols>
    <col min="2" max="2" width="7.77734375" bestFit="1" customWidth="1"/>
    <col min="3" max="3" width="17.33203125" bestFit="1" customWidth="1"/>
    <col min="4" max="4" width="19" bestFit="1" customWidth="1"/>
    <col min="5" max="5" width="16.88671875" bestFit="1" customWidth="1"/>
    <col min="6" max="6" width="30.88671875" bestFit="1" customWidth="1"/>
    <col min="7" max="7" width="11.6640625" customWidth="1"/>
    <col min="8" max="8" width="74.77734375" customWidth="1"/>
    <col min="9" max="9" width="14.5546875" customWidth="1"/>
    <col min="10" max="10" width="17" bestFit="1" customWidth="1"/>
  </cols>
  <sheetData>
    <row r="1" spans="1:27" ht="16.2" thickBot="1" x14ac:dyDescent="0.35">
      <c r="A1" s="3"/>
      <c r="B1" s="3"/>
      <c r="C1" s="3"/>
      <c r="D1" s="3"/>
      <c r="E1" s="3"/>
      <c r="F1" s="3"/>
      <c r="G1" s="3"/>
      <c r="H1" s="3"/>
      <c r="I1" s="3"/>
      <c r="J1" s="3"/>
      <c r="K1" s="3"/>
      <c r="L1" s="3"/>
      <c r="M1" s="3"/>
      <c r="N1" s="3"/>
      <c r="O1" s="3"/>
      <c r="P1" s="3"/>
      <c r="Q1" s="3"/>
      <c r="R1" s="3"/>
      <c r="S1" s="3"/>
      <c r="T1" s="3"/>
      <c r="U1" s="3"/>
      <c r="V1" s="3"/>
      <c r="W1" s="3"/>
      <c r="X1" s="3"/>
      <c r="Y1" s="3"/>
      <c r="Z1" s="3"/>
      <c r="AA1" s="3"/>
    </row>
    <row r="2" spans="1:27" ht="21" thickBot="1" x14ac:dyDescent="0.4">
      <c r="A2" s="3"/>
      <c r="B2" s="741" t="s">
        <v>13</v>
      </c>
      <c r="C2" s="742"/>
      <c r="D2" s="742"/>
      <c r="E2" s="742"/>
      <c r="F2" s="742"/>
      <c r="G2" s="742"/>
      <c r="H2" s="742"/>
      <c r="I2" s="742"/>
      <c r="J2" s="743"/>
      <c r="K2" s="3"/>
      <c r="L2" s="3"/>
      <c r="M2" s="3"/>
      <c r="N2" s="3"/>
      <c r="O2" s="3"/>
      <c r="P2" s="3"/>
      <c r="Q2" s="3"/>
      <c r="R2" s="3"/>
      <c r="S2" s="3"/>
      <c r="T2" s="3"/>
      <c r="U2" s="3"/>
      <c r="V2" s="3"/>
      <c r="W2" s="3"/>
      <c r="X2" s="3"/>
      <c r="Y2" s="3"/>
      <c r="Z2" s="3"/>
      <c r="AA2" s="3"/>
    </row>
    <row r="3" spans="1:27" ht="62.4" x14ac:dyDescent="0.3">
      <c r="A3" s="3"/>
      <c r="B3" s="143" t="s">
        <v>14</v>
      </c>
      <c r="C3" s="144" t="s">
        <v>15</v>
      </c>
      <c r="D3" s="145" t="s">
        <v>16</v>
      </c>
      <c r="E3" s="145" t="s">
        <v>17</v>
      </c>
      <c r="F3" s="145" t="s">
        <v>18</v>
      </c>
      <c r="G3" s="144" t="s">
        <v>19</v>
      </c>
      <c r="H3" s="145" t="s">
        <v>20</v>
      </c>
      <c r="I3" s="144" t="s">
        <v>21</v>
      </c>
      <c r="J3" s="146" t="s">
        <v>22</v>
      </c>
      <c r="K3" s="3"/>
      <c r="L3" s="3"/>
      <c r="M3" s="3"/>
      <c r="N3" s="3"/>
      <c r="O3" s="3"/>
      <c r="P3" s="3"/>
      <c r="Q3" s="3"/>
      <c r="R3" s="3"/>
      <c r="S3" s="3"/>
      <c r="T3" s="3"/>
      <c r="U3" s="3"/>
      <c r="V3" s="3"/>
      <c r="W3" s="3"/>
      <c r="X3" s="3"/>
      <c r="Y3" s="3"/>
      <c r="Z3" s="3"/>
      <c r="AA3" s="3"/>
    </row>
    <row r="4" spans="1:27" ht="187.2" x14ac:dyDescent="0.3">
      <c r="A4" s="3"/>
      <c r="B4" s="172">
        <v>1</v>
      </c>
      <c r="C4" s="173" t="s">
        <v>23</v>
      </c>
      <c r="D4" s="173" t="s">
        <v>24</v>
      </c>
      <c r="E4" s="173" t="s">
        <v>25</v>
      </c>
      <c r="F4" s="147" t="s">
        <v>26</v>
      </c>
      <c r="G4" s="174" t="s">
        <v>27</v>
      </c>
      <c r="H4" s="174" t="s">
        <v>28</v>
      </c>
      <c r="I4" s="173" t="s">
        <v>29</v>
      </c>
      <c r="J4" s="175" t="s">
        <v>30</v>
      </c>
      <c r="K4" s="3"/>
      <c r="L4" s="3"/>
      <c r="M4" s="3"/>
      <c r="N4" s="3"/>
      <c r="O4" s="3"/>
      <c r="P4" s="3"/>
      <c r="Q4" s="3"/>
      <c r="R4" s="3"/>
      <c r="S4" s="3"/>
      <c r="T4" s="3"/>
      <c r="U4" s="3"/>
      <c r="V4" s="3"/>
      <c r="W4" s="3"/>
      <c r="X4" s="3"/>
      <c r="Y4" s="3"/>
      <c r="Z4" s="3"/>
      <c r="AA4" s="3"/>
    </row>
    <row r="5" spans="1:27" ht="144" x14ac:dyDescent="0.3">
      <c r="A5" s="3"/>
      <c r="B5" s="172">
        <v>2</v>
      </c>
      <c r="C5" s="173" t="s">
        <v>23</v>
      </c>
      <c r="D5" s="173" t="s">
        <v>31</v>
      </c>
      <c r="E5" s="173" t="s">
        <v>32</v>
      </c>
      <c r="F5" s="148" t="s">
        <v>33</v>
      </c>
      <c r="G5" s="174" t="s">
        <v>27</v>
      </c>
      <c r="H5" s="174" t="s">
        <v>34</v>
      </c>
      <c r="I5" s="173" t="s">
        <v>35</v>
      </c>
      <c r="J5" s="175" t="s">
        <v>36</v>
      </c>
      <c r="K5" s="3"/>
      <c r="L5" s="3"/>
      <c r="M5" s="3"/>
      <c r="N5" s="3"/>
      <c r="O5" s="3"/>
      <c r="P5" s="3"/>
      <c r="Q5" s="3"/>
      <c r="R5" s="3"/>
      <c r="S5" s="3"/>
      <c r="T5" s="3"/>
      <c r="U5" s="3"/>
      <c r="V5" s="3"/>
      <c r="W5" s="3"/>
      <c r="X5" s="3"/>
      <c r="Y5" s="3"/>
      <c r="Z5" s="3"/>
      <c r="AA5" s="3"/>
    </row>
    <row r="6" spans="1:27" ht="273.60000000000002" x14ac:dyDescent="0.3">
      <c r="A6" s="3"/>
      <c r="B6" s="172">
        <v>3</v>
      </c>
      <c r="C6" s="173" t="s">
        <v>23</v>
      </c>
      <c r="D6" s="173" t="s">
        <v>37</v>
      </c>
      <c r="E6" s="173" t="s">
        <v>38</v>
      </c>
      <c r="F6" s="148" t="s">
        <v>39</v>
      </c>
      <c r="G6" s="173" t="s">
        <v>40</v>
      </c>
      <c r="H6" s="174" t="s">
        <v>41</v>
      </c>
      <c r="I6" s="173" t="s">
        <v>42</v>
      </c>
      <c r="J6" s="175" t="s">
        <v>30</v>
      </c>
      <c r="K6" s="3"/>
      <c r="L6" s="3"/>
      <c r="M6" s="3"/>
      <c r="N6" s="3"/>
      <c r="O6" s="3"/>
      <c r="P6" s="3"/>
      <c r="Q6" s="3"/>
      <c r="R6" s="3"/>
      <c r="S6" s="3"/>
      <c r="T6" s="3"/>
      <c r="U6" s="3"/>
      <c r="V6" s="3"/>
      <c r="W6" s="3"/>
      <c r="X6" s="3"/>
      <c r="Y6" s="3"/>
      <c r="Z6" s="3"/>
      <c r="AA6" s="3"/>
    </row>
    <row r="7" spans="1:27" ht="218.4" x14ac:dyDescent="0.3">
      <c r="A7" s="3"/>
      <c r="B7" s="172">
        <v>4</v>
      </c>
      <c r="C7" s="176" t="s">
        <v>23</v>
      </c>
      <c r="D7" s="176" t="s">
        <v>43</v>
      </c>
      <c r="E7" s="176" t="s">
        <v>44</v>
      </c>
      <c r="F7" s="149" t="s">
        <v>45</v>
      </c>
      <c r="G7" s="177">
        <v>45179</v>
      </c>
      <c r="H7" s="178" t="s">
        <v>46</v>
      </c>
      <c r="I7" s="179" t="s">
        <v>47</v>
      </c>
      <c r="J7" s="180" t="s">
        <v>36</v>
      </c>
      <c r="K7" s="3"/>
      <c r="L7" s="3"/>
      <c r="M7" s="3"/>
      <c r="N7" s="3"/>
      <c r="O7" s="3"/>
      <c r="P7" s="3"/>
      <c r="Q7" s="3"/>
      <c r="R7" s="3"/>
      <c r="S7" s="3"/>
      <c r="T7" s="3"/>
      <c r="U7" s="3"/>
      <c r="V7" s="3"/>
      <c r="W7" s="3"/>
      <c r="X7" s="3"/>
      <c r="Y7" s="3"/>
      <c r="Z7" s="3"/>
      <c r="AA7" s="3"/>
    </row>
    <row r="8" spans="1:27" ht="140.4" x14ac:dyDescent="0.3">
      <c r="A8" s="3"/>
      <c r="B8" s="172">
        <v>5</v>
      </c>
      <c r="C8" s="176" t="s">
        <v>23</v>
      </c>
      <c r="D8" s="176" t="s">
        <v>48</v>
      </c>
      <c r="E8" s="176" t="s">
        <v>49</v>
      </c>
      <c r="F8" s="149" t="s">
        <v>50</v>
      </c>
      <c r="G8" s="178" t="s">
        <v>27</v>
      </c>
      <c r="H8" s="178" t="s">
        <v>51</v>
      </c>
      <c r="I8" s="179" t="s">
        <v>52</v>
      </c>
      <c r="J8" s="180" t="s">
        <v>30</v>
      </c>
      <c r="K8" s="3"/>
      <c r="L8" s="3"/>
      <c r="M8" s="3"/>
      <c r="N8" s="3"/>
      <c r="O8" s="3"/>
      <c r="P8" s="3"/>
      <c r="Q8" s="3"/>
      <c r="R8" s="3"/>
      <c r="S8" s="3"/>
      <c r="T8" s="3"/>
      <c r="U8" s="3"/>
      <c r="V8" s="3"/>
      <c r="W8" s="3"/>
      <c r="X8" s="3"/>
      <c r="Y8" s="3"/>
      <c r="Z8" s="3"/>
      <c r="AA8" s="3"/>
    </row>
    <row r="9" spans="1:27" ht="109.2" x14ac:dyDescent="0.3">
      <c r="A9" s="3"/>
      <c r="B9" s="181">
        <v>6</v>
      </c>
      <c r="C9" s="182" t="s">
        <v>23</v>
      </c>
      <c r="D9" s="182" t="s">
        <v>53</v>
      </c>
      <c r="E9" s="182" t="s">
        <v>54</v>
      </c>
      <c r="F9" s="150" t="s">
        <v>55</v>
      </c>
      <c r="G9" s="183" t="s">
        <v>27</v>
      </c>
      <c r="H9" s="183" t="s">
        <v>56</v>
      </c>
      <c r="I9" s="184" t="s">
        <v>57</v>
      </c>
      <c r="J9" s="185" t="s">
        <v>58</v>
      </c>
      <c r="K9" s="3"/>
      <c r="L9" s="3"/>
      <c r="M9" s="3"/>
      <c r="N9" s="3"/>
      <c r="O9" s="3"/>
      <c r="P9" s="3"/>
      <c r="Q9" s="3"/>
      <c r="R9" s="3"/>
      <c r="S9" s="3"/>
      <c r="T9" s="3"/>
      <c r="U9" s="3"/>
      <c r="V9" s="3"/>
      <c r="W9" s="3"/>
      <c r="X9" s="3"/>
      <c r="Y9" s="3"/>
      <c r="Z9" s="3"/>
      <c r="AA9" s="3"/>
    </row>
    <row r="10" spans="1:27" ht="171.6" x14ac:dyDescent="0.3">
      <c r="A10" s="3"/>
      <c r="B10" s="172">
        <v>7</v>
      </c>
      <c r="C10" s="173" t="s">
        <v>59</v>
      </c>
      <c r="D10" s="173" t="s">
        <v>60</v>
      </c>
      <c r="E10" s="173" t="s">
        <v>61</v>
      </c>
      <c r="F10" s="148" t="s">
        <v>62</v>
      </c>
      <c r="G10" s="174" t="s">
        <v>27</v>
      </c>
      <c r="H10" s="174" t="s">
        <v>63</v>
      </c>
      <c r="I10" s="173" t="s">
        <v>64</v>
      </c>
      <c r="J10" s="175" t="s">
        <v>30</v>
      </c>
      <c r="K10" s="3"/>
      <c r="L10" s="3"/>
      <c r="M10" s="3"/>
      <c r="N10" s="3"/>
      <c r="O10" s="3"/>
      <c r="P10" s="3"/>
      <c r="Q10" s="3"/>
      <c r="R10" s="3"/>
      <c r="S10" s="3"/>
      <c r="T10" s="3"/>
      <c r="U10" s="3"/>
      <c r="V10" s="3"/>
      <c r="W10" s="3"/>
      <c r="X10" s="3"/>
      <c r="Y10" s="3"/>
      <c r="Z10" s="3"/>
      <c r="AA10" s="3"/>
    </row>
    <row r="11" spans="1:27" ht="187.2" x14ac:dyDescent="0.3">
      <c r="A11" s="3"/>
      <c r="B11" s="172">
        <v>8</v>
      </c>
      <c r="C11" s="173" t="s">
        <v>59</v>
      </c>
      <c r="D11" s="173" t="s">
        <v>65</v>
      </c>
      <c r="E11" s="173" t="s">
        <v>66</v>
      </c>
      <c r="F11" s="148" t="s">
        <v>67</v>
      </c>
      <c r="G11" s="174" t="s">
        <v>27</v>
      </c>
      <c r="H11" s="174" t="s">
        <v>68</v>
      </c>
      <c r="I11" s="173" t="s">
        <v>69</v>
      </c>
      <c r="J11" s="175" t="s">
        <v>70</v>
      </c>
      <c r="K11" s="3"/>
      <c r="L11" s="3"/>
      <c r="M11" s="3"/>
      <c r="N11" s="3"/>
      <c r="O11" s="3"/>
      <c r="P11" s="3"/>
      <c r="Q11" s="3"/>
      <c r="R11" s="3"/>
      <c r="S11" s="3"/>
      <c r="T11" s="3"/>
      <c r="U11" s="3"/>
      <c r="V11" s="3"/>
      <c r="W11" s="3"/>
      <c r="X11" s="3"/>
      <c r="Y11" s="3"/>
      <c r="Z11" s="3"/>
      <c r="AA11" s="3"/>
    </row>
    <row r="12" spans="1:27" ht="140.4" x14ac:dyDescent="0.3">
      <c r="A12" s="3"/>
      <c r="B12" s="172">
        <v>9</v>
      </c>
      <c r="C12" s="173" t="s">
        <v>59</v>
      </c>
      <c r="D12" s="173" t="s">
        <v>71</v>
      </c>
      <c r="E12" s="173" t="s">
        <v>72</v>
      </c>
      <c r="F12" s="148" t="s">
        <v>73</v>
      </c>
      <c r="G12" s="173">
        <v>110</v>
      </c>
      <c r="H12" s="173" t="s">
        <v>74</v>
      </c>
      <c r="I12" s="173" t="s">
        <v>75</v>
      </c>
      <c r="J12" s="175" t="s">
        <v>30</v>
      </c>
      <c r="K12" s="3"/>
      <c r="L12" s="3"/>
      <c r="M12" s="3"/>
      <c r="N12" s="3"/>
      <c r="O12" s="3"/>
      <c r="P12" s="3"/>
      <c r="Q12" s="3"/>
      <c r="R12" s="3"/>
      <c r="S12" s="3"/>
      <c r="T12" s="3"/>
      <c r="U12" s="3"/>
      <c r="V12" s="3"/>
      <c r="W12" s="3"/>
      <c r="X12" s="3"/>
      <c r="Y12" s="3"/>
      <c r="Z12" s="3"/>
      <c r="AA12" s="3"/>
    </row>
    <row r="13" spans="1:27" ht="124.8" x14ac:dyDescent="0.3">
      <c r="A13" s="3"/>
      <c r="B13" s="172">
        <v>10</v>
      </c>
      <c r="C13" s="173" t="s">
        <v>59</v>
      </c>
      <c r="D13" s="173" t="s">
        <v>76</v>
      </c>
      <c r="E13" s="173" t="s">
        <v>77</v>
      </c>
      <c r="F13" s="148" t="s">
        <v>78</v>
      </c>
      <c r="G13" s="173" t="s">
        <v>79</v>
      </c>
      <c r="H13" s="173" t="s">
        <v>80</v>
      </c>
      <c r="I13" s="173" t="s">
        <v>81</v>
      </c>
      <c r="J13" s="175" t="s">
        <v>82</v>
      </c>
      <c r="K13" s="3"/>
      <c r="L13" s="3"/>
      <c r="M13" s="3"/>
      <c r="N13" s="3"/>
      <c r="O13" s="3"/>
      <c r="P13" s="3"/>
      <c r="Q13" s="3"/>
      <c r="R13" s="3"/>
      <c r="S13" s="3"/>
      <c r="T13" s="3"/>
      <c r="U13" s="3"/>
      <c r="V13" s="3"/>
      <c r="W13" s="3"/>
      <c r="X13" s="3"/>
      <c r="Y13" s="3"/>
      <c r="Z13" s="3"/>
      <c r="AA13" s="3"/>
    </row>
    <row r="14" spans="1:27" ht="124.8" x14ac:dyDescent="0.3">
      <c r="A14" s="3"/>
      <c r="B14" s="172">
        <v>11</v>
      </c>
      <c r="C14" s="173" t="s">
        <v>59</v>
      </c>
      <c r="D14" s="173" t="s">
        <v>83</v>
      </c>
      <c r="E14" s="173" t="s">
        <v>84</v>
      </c>
      <c r="F14" s="148" t="s">
        <v>85</v>
      </c>
      <c r="G14" s="173" t="s">
        <v>79</v>
      </c>
      <c r="H14" s="173" t="s">
        <v>86</v>
      </c>
      <c r="I14" s="173" t="s">
        <v>87</v>
      </c>
      <c r="J14" s="175" t="s">
        <v>36</v>
      </c>
      <c r="K14" s="3"/>
      <c r="L14" s="3"/>
      <c r="M14" s="3"/>
      <c r="N14" s="3"/>
      <c r="O14" s="3"/>
      <c r="P14" s="3"/>
      <c r="Q14" s="3"/>
      <c r="R14" s="3"/>
      <c r="S14" s="3"/>
      <c r="T14" s="3"/>
      <c r="U14" s="3"/>
      <c r="V14" s="3"/>
      <c r="W14" s="3"/>
      <c r="X14" s="3"/>
      <c r="Y14" s="3"/>
      <c r="Z14" s="3"/>
      <c r="AA14" s="3"/>
    </row>
    <row r="15" spans="1:27" ht="187.2" x14ac:dyDescent="0.3">
      <c r="A15" s="3"/>
      <c r="B15" s="172">
        <v>12</v>
      </c>
      <c r="C15" s="173" t="s">
        <v>59</v>
      </c>
      <c r="D15" s="173" t="s">
        <v>88</v>
      </c>
      <c r="E15" s="173" t="s">
        <v>89</v>
      </c>
      <c r="F15" s="148" t="s">
        <v>90</v>
      </c>
      <c r="G15" s="173">
        <v>5</v>
      </c>
      <c r="H15" s="174" t="s">
        <v>91</v>
      </c>
      <c r="I15" s="173" t="s">
        <v>92</v>
      </c>
      <c r="J15" s="175" t="s">
        <v>93</v>
      </c>
      <c r="K15" s="3"/>
      <c r="L15" s="3"/>
      <c r="M15" s="3"/>
      <c r="N15" s="3"/>
      <c r="O15" s="3"/>
      <c r="P15" s="3"/>
      <c r="Q15" s="3"/>
      <c r="R15" s="3"/>
      <c r="S15" s="3"/>
      <c r="T15" s="3"/>
      <c r="U15" s="3"/>
      <c r="V15" s="3"/>
      <c r="W15" s="3"/>
      <c r="X15" s="3"/>
      <c r="Y15" s="3"/>
      <c r="Z15" s="3"/>
      <c r="AA15" s="3"/>
    </row>
    <row r="16" spans="1:27" ht="218.4" x14ac:dyDescent="0.3">
      <c r="A16" s="3"/>
      <c r="B16" s="181">
        <v>13</v>
      </c>
      <c r="C16" s="186" t="s">
        <v>59</v>
      </c>
      <c r="D16" s="186" t="s">
        <v>94</v>
      </c>
      <c r="E16" s="186" t="s">
        <v>95</v>
      </c>
      <c r="F16" s="151" t="s">
        <v>96</v>
      </c>
      <c r="G16" s="187" t="s">
        <v>27</v>
      </c>
      <c r="H16" s="187" t="s">
        <v>97</v>
      </c>
      <c r="I16" s="186" t="s">
        <v>64</v>
      </c>
      <c r="J16" s="188" t="s">
        <v>30</v>
      </c>
      <c r="K16" s="3"/>
      <c r="L16" s="3"/>
      <c r="M16" s="3"/>
      <c r="N16" s="3"/>
      <c r="O16" s="3"/>
      <c r="P16" s="3"/>
      <c r="Q16" s="3"/>
      <c r="R16" s="3"/>
      <c r="S16" s="3"/>
      <c r="T16" s="3"/>
      <c r="U16" s="3"/>
      <c r="V16" s="3"/>
      <c r="W16" s="3"/>
      <c r="X16" s="3"/>
      <c r="Y16" s="3"/>
      <c r="Z16" s="3"/>
      <c r="AA16" s="3"/>
    </row>
    <row r="17" spans="1:27" ht="109.2" x14ac:dyDescent="0.3">
      <c r="A17" s="3"/>
      <c r="B17" s="172">
        <v>14</v>
      </c>
      <c r="C17" s="173" t="s">
        <v>98</v>
      </c>
      <c r="D17" s="173" t="s">
        <v>99</v>
      </c>
      <c r="E17" s="173" t="s">
        <v>100</v>
      </c>
      <c r="F17" s="152" t="s">
        <v>101</v>
      </c>
      <c r="G17" s="173" t="s">
        <v>102</v>
      </c>
      <c r="H17" s="173" t="s">
        <v>103</v>
      </c>
      <c r="I17" s="153" t="s">
        <v>104</v>
      </c>
      <c r="J17" s="175" t="s">
        <v>36</v>
      </c>
      <c r="K17" s="3"/>
      <c r="L17" s="3"/>
      <c r="M17" s="3"/>
      <c r="N17" s="3"/>
      <c r="O17" s="3"/>
      <c r="P17" s="3"/>
      <c r="Q17" s="3"/>
      <c r="R17" s="3"/>
      <c r="S17" s="3"/>
      <c r="T17" s="3"/>
      <c r="U17" s="3"/>
      <c r="V17" s="3"/>
      <c r="W17" s="3"/>
      <c r="X17" s="3"/>
      <c r="Y17" s="3"/>
      <c r="Z17" s="3"/>
      <c r="AA17" s="3"/>
    </row>
    <row r="18" spans="1:27" ht="93.6" x14ac:dyDescent="0.3">
      <c r="A18" s="3"/>
      <c r="B18" s="172">
        <v>15</v>
      </c>
      <c r="C18" s="173" t="s">
        <v>98</v>
      </c>
      <c r="D18" s="173" t="s">
        <v>105</v>
      </c>
      <c r="E18" s="173" t="s">
        <v>100</v>
      </c>
      <c r="F18" s="152" t="s">
        <v>101</v>
      </c>
      <c r="G18" s="173" t="s">
        <v>106</v>
      </c>
      <c r="H18" s="173" t="s">
        <v>107</v>
      </c>
      <c r="I18" s="173" t="s">
        <v>108</v>
      </c>
      <c r="J18" s="175" t="s">
        <v>109</v>
      </c>
      <c r="K18" s="3"/>
      <c r="L18" s="3"/>
      <c r="M18" s="3"/>
      <c r="N18" s="3"/>
      <c r="O18" s="3"/>
      <c r="P18" s="3"/>
      <c r="Q18" s="3"/>
      <c r="R18" s="3"/>
      <c r="S18" s="3"/>
      <c r="T18" s="3"/>
      <c r="U18" s="3"/>
      <c r="V18" s="3"/>
      <c r="W18" s="3"/>
      <c r="X18" s="3"/>
      <c r="Y18" s="3"/>
      <c r="Z18" s="3"/>
      <c r="AA18" s="3"/>
    </row>
    <row r="19" spans="1:27" ht="40.200000000000003" x14ac:dyDescent="0.3">
      <c r="A19" s="3"/>
      <c r="B19" s="172">
        <v>16</v>
      </c>
      <c r="C19" s="173" t="s">
        <v>98</v>
      </c>
      <c r="D19" s="173" t="s">
        <v>110</v>
      </c>
      <c r="E19" s="173" t="s">
        <v>100</v>
      </c>
      <c r="F19" s="152" t="s">
        <v>101</v>
      </c>
      <c r="G19" s="173" t="s">
        <v>111</v>
      </c>
      <c r="H19" s="173" t="s">
        <v>112</v>
      </c>
      <c r="I19" s="173" t="s">
        <v>113</v>
      </c>
      <c r="J19" s="175" t="s">
        <v>30</v>
      </c>
      <c r="K19" s="3"/>
      <c r="L19" s="3"/>
      <c r="M19" s="3"/>
      <c r="N19" s="3"/>
      <c r="O19" s="3"/>
      <c r="P19" s="3"/>
      <c r="Q19" s="3"/>
      <c r="R19" s="3"/>
      <c r="S19" s="3"/>
      <c r="T19" s="3"/>
      <c r="U19" s="3"/>
      <c r="V19" s="3"/>
      <c r="W19" s="3"/>
      <c r="X19" s="3"/>
      <c r="Y19" s="3"/>
      <c r="Z19" s="3"/>
      <c r="AA19" s="3"/>
    </row>
    <row r="20" spans="1:27" ht="93.6" x14ac:dyDescent="0.3">
      <c r="A20" s="3"/>
      <c r="B20" s="172">
        <v>17</v>
      </c>
      <c r="C20" s="173" t="s">
        <v>98</v>
      </c>
      <c r="D20" s="173" t="s">
        <v>114</v>
      </c>
      <c r="E20" s="173" t="s">
        <v>115</v>
      </c>
      <c r="F20" s="148" t="s">
        <v>116</v>
      </c>
      <c r="G20" s="173" t="s">
        <v>117</v>
      </c>
      <c r="H20" s="173" t="s">
        <v>118</v>
      </c>
      <c r="I20" s="173" t="s">
        <v>119</v>
      </c>
      <c r="J20" s="175" t="s">
        <v>36</v>
      </c>
      <c r="K20" s="3"/>
      <c r="L20" s="3"/>
      <c r="M20" s="3"/>
      <c r="N20" s="3"/>
      <c r="O20" s="3"/>
      <c r="P20" s="3"/>
      <c r="Q20" s="3"/>
      <c r="R20" s="3"/>
      <c r="S20" s="3"/>
      <c r="T20" s="3"/>
      <c r="U20" s="3"/>
      <c r="V20" s="3"/>
      <c r="W20" s="3"/>
      <c r="X20" s="3"/>
      <c r="Y20" s="3"/>
      <c r="Z20" s="3"/>
      <c r="AA20" s="3"/>
    </row>
    <row r="21" spans="1:27" ht="109.2" x14ac:dyDescent="0.3">
      <c r="A21" s="3"/>
      <c r="B21" s="172">
        <v>18</v>
      </c>
      <c r="C21" s="173" t="s">
        <v>98</v>
      </c>
      <c r="D21" s="173" t="s">
        <v>120</v>
      </c>
      <c r="E21" s="173" t="s">
        <v>100</v>
      </c>
      <c r="F21" s="147" t="s">
        <v>101</v>
      </c>
      <c r="G21" s="173" t="s">
        <v>121</v>
      </c>
      <c r="H21" s="173" t="s">
        <v>122</v>
      </c>
      <c r="I21" s="173" t="s">
        <v>123</v>
      </c>
      <c r="J21" s="175" t="s">
        <v>124</v>
      </c>
      <c r="K21" s="3"/>
      <c r="L21" s="3"/>
      <c r="M21" s="3"/>
      <c r="N21" s="3"/>
      <c r="O21" s="3"/>
      <c r="P21" s="3"/>
      <c r="Q21" s="3"/>
      <c r="R21" s="3"/>
      <c r="S21" s="3"/>
      <c r="T21" s="3"/>
      <c r="U21" s="3"/>
      <c r="V21" s="3"/>
      <c r="W21" s="3"/>
      <c r="X21" s="3"/>
      <c r="Y21" s="3"/>
      <c r="Z21" s="3"/>
      <c r="AA21" s="3"/>
    </row>
    <row r="22" spans="1:27" ht="46.8" x14ac:dyDescent="0.3">
      <c r="A22" s="3"/>
      <c r="B22" s="172">
        <v>19</v>
      </c>
      <c r="C22" s="173" t="s">
        <v>98</v>
      </c>
      <c r="D22" s="173" t="s">
        <v>125</v>
      </c>
      <c r="E22" s="173" t="s">
        <v>126</v>
      </c>
      <c r="F22" s="148" t="s">
        <v>127</v>
      </c>
      <c r="G22" s="174" t="s">
        <v>27</v>
      </c>
      <c r="H22" s="173" t="s">
        <v>128</v>
      </c>
      <c r="I22" s="173" t="s">
        <v>129</v>
      </c>
      <c r="J22" s="175" t="s">
        <v>36</v>
      </c>
      <c r="K22" s="3"/>
      <c r="L22" s="3"/>
      <c r="M22" s="3"/>
      <c r="N22" s="3"/>
      <c r="O22" s="3"/>
      <c r="P22" s="3"/>
      <c r="Q22" s="3"/>
      <c r="R22" s="3"/>
      <c r="S22" s="3"/>
      <c r="T22" s="3"/>
      <c r="U22" s="3"/>
      <c r="V22" s="3"/>
      <c r="W22" s="3"/>
      <c r="X22" s="3"/>
      <c r="Y22" s="3"/>
      <c r="Z22" s="3"/>
      <c r="AA22" s="3"/>
    </row>
    <row r="23" spans="1:27" ht="93.6" x14ac:dyDescent="0.3">
      <c r="A23" s="3"/>
      <c r="B23" s="172">
        <v>20</v>
      </c>
      <c r="C23" s="173" t="s">
        <v>98</v>
      </c>
      <c r="D23" s="173" t="s">
        <v>42</v>
      </c>
      <c r="E23" s="173" t="s">
        <v>100</v>
      </c>
      <c r="F23" s="147" t="s">
        <v>101</v>
      </c>
      <c r="G23" s="173" t="s">
        <v>130</v>
      </c>
      <c r="H23" s="173" t="s">
        <v>131</v>
      </c>
      <c r="I23" s="173" t="s">
        <v>75</v>
      </c>
      <c r="J23" s="175" t="s">
        <v>30</v>
      </c>
      <c r="K23" s="3"/>
      <c r="L23" s="3"/>
      <c r="M23" s="3"/>
      <c r="N23" s="3"/>
      <c r="O23" s="3"/>
      <c r="P23" s="3"/>
      <c r="Q23" s="3"/>
      <c r="R23" s="3"/>
      <c r="S23" s="3"/>
      <c r="T23" s="3"/>
      <c r="U23" s="3"/>
      <c r="V23" s="3"/>
      <c r="W23" s="3"/>
      <c r="X23" s="3"/>
      <c r="Y23" s="3"/>
      <c r="Z23" s="3"/>
      <c r="AA23" s="3"/>
    </row>
    <row r="24" spans="1:27" ht="46.8" x14ac:dyDescent="0.3">
      <c r="A24" s="3"/>
      <c r="B24" s="181">
        <v>21</v>
      </c>
      <c r="C24" s="186" t="s">
        <v>98</v>
      </c>
      <c r="D24" s="186" t="s">
        <v>132</v>
      </c>
      <c r="E24" s="186" t="s">
        <v>100</v>
      </c>
      <c r="F24" s="154" t="s">
        <v>101</v>
      </c>
      <c r="G24" s="186" t="s">
        <v>133</v>
      </c>
      <c r="H24" s="186" t="s">
        <v>134</v>
      </c>
      <c r="I24" s="186" t="s">
        <v>75</v>
      </c>
      <c r="J24" s="188" t="s">
        <v>36</v>
      </c>
      <c r="K24" s="3"/>
      <c r="L24" s="3"/>
      <c r="M24" s="3"/>
      <c r="N24" s="3"/>
      <c r="O24" s="3"/>
      <c r="P24" s="3"/>
      <c r="Q24" s="3"/>
      <c r="R24" s="3"/>
      <c r="S24" s="3"/>
      <c r="T24" s="3"/>
      <c r="U24" s="3"/>
      <c r="V24" s="3"/>
      <c r="W24" s="3"/>
      <c r="X24" s="3"/>
      <c r="Y24" s="3"/>
      <c r="Z24" s="3"/>
      <c r="AA24" s="3"/>
    </row>
    <row r="25" spans="1:27" ht="15.6" x14ac:dyDescent="0.3">
      <c r="A25" s="3"/>
      <c r="B25" s="3"/>
      <c r="C25" s="3"/>
      <c r="D25" s="3"/>
      <c r="E25" s="3"/>
      <c r="F25" s="3"/>
      <c r="G25" s="3"/>
      <c r="H25" s="3"/>
      <c r="I25" s="3"/>
      <c r="J25" s="3"/>
      <c r="K25" s="3"/>
      <c r="L25" s="3"/>
      <c r="M25" s="3"/>
      <c r="N25" s="3"/>
      <c r="O25" s="3"/>
      <c r="P25" s="3"/>
      <c r="Q25" s="3"/>
      <c r="R25" s="3"/>
      <c r="S25" s="3"/>
      <c r="T25" s="3"/>
      <c r="U25" s="3"/>
      <c r="V25" s="3"/>
      <c r="W25" s="3"/>
      <c r="X25" s="3"/>
      <c r="Y25" s="3"/>
      <c r="Z25" s="3"/>
      <c r="AA25" s="3"/>
    </row>
    <row r="26" spans="1:27" ht="15.6" x14ac:dyDescent="0.3">
      <c r="A26" s="3"/>
      <c r="B26" s="3"/>
      <c r="C26" s="3"/>
      <c r="D26" s="3"/>
      <c r="E26" s="3"/>
      <c r="F26" s="3"/>
      <c r="G26" s="3"/>
      <c r="H26" s="3"/>
      <c r="I26" s="3"/>
      <c r="J26" s="3"/>
      <c r="K26" s="3"/>
      <c r="L26" s="3"/>
      <c r="M26" s="3"/>
      <c r="N26" s="3"/>
      <c r="O26" s="3"/>
      <c r="P26" s="3"/>
      <c r="Q26" s="3"/>
      <c r="R26" s="3"/>
      <c r="S26" s="3"/>
      <c r="T26" s="3"/>
      <c r="U26" s="3"/>
      <c r="V26" s="3"/>
      <c r="W26" s="3"/>
      <c r="X26" s="3"/>
      <c r="Y26" s="3"/>
      <c r="Z26" s="3"/>
      <c r="AA26" s="3"/>
    </row>
    <row r="27" spans="1:27" ht="15.6" x14ac:dyDescent="0.3">
      <c r="A27" s="3"/>
      <c r="B27" s="3"/>
      <c r="C27" s="3"/>
      <c r="D27" s="3"/>
      <c r="E27" s="3"/>
      <c r="F27" s="3"/>
      <c r="G27" s="3"/>
      <c r="H27" s="3"/>
      <c r="I27" s="3"/>
      <c r="J27" s="3"/>
      <c r="K27" s="3"/>
      <c r="L27" s="3"/>
      <c r="M27" s="3"/>
      <c r="N27" s="3"/>
      <c r="O27" s="3"/>
      <c r="P27" s="3"/>
      <c r="Q27" s="3"/>
      <c r="R27" s="3"/>
      <c r="S27" s="3"/>
      <c r="T27" s="3"/>
      <c r="U27" s="3"/>
      <c r="V27" s="3"/>
      <c r="W27" s="3"/>
      <c r="X27" s="3"/>
      <c r="Y27" s="3"/>
      <c r="Z27" s="3"/>
      <c r="AA27" s="3"/>
    </row>
    <row r="28" spans="1:27" ht="15.6" x14ac:dyDescent="0.3">
      <c r="A28" s="3"/>
      <c r="B28" s="3"/>
      <c r="C28" s="3"/>
      <c r="D28" s="3"/>
      <c r="E28" s="3"/>
      <c r="F28" s="3"/>
      <c r="G28" s="3"/>
      <c r="H28" s="3"/>
      <c r="I28" s="3"/>
      <c r="J28" s="3"/>
      <c r="K28" s="3"/>
      <c r="L28" s="3"/>
      <c r="M28" s="3"/>
      <c r="N28" s="3"/>
      <c r="O28" s="3"/>
      <c r="P28" s="3"/>
      <c r="Q28" s="3"/>
      <c r="R28" s="3"/>
      <c r="S28" s="3"/>
      <c r="T28" s="3"/>
      <c r="U28" s="3"/>
      <c r="V28" s="3"/>
      <c r="W28" s="3"/>
      <c r="X28" s="3"/>
      <c r="Y28" s="3"/>
      <c r="Z28" s="3"/>
      <c r="AA28" s="3"/>
    </row>
    <row r="29" spans="1:27" ht="15.6" x14ac:dyDescent="0.3">
      <c r="A29" s="3"/>
      <c r="B29" s="3"/>
      <c r="C29" s="3"/>
      <c r="D29" s="3"/>
      <c r="E29" s="3"/>
      <c r="F29" s="3"/>
      <c r="G29" s="3"/>
      <c r="H29" s="3"/>
      <c r="I29" s="3"/>
      <c r="J29" s="3"/>
      <c r="K29" s="3"/>
      <c r="L29" s="3"/>
      <c r="M29" s="3"/>
      <c r="N29" s="3"/>
      <c r="O29" s="3"/>
      <c r="P29" s="3"/>
      <c r="Q29" s="3"/>
      <c r="R29" s="3"/>
      <c r="S29" s="3"/>
      <c r="T29" s="3"/>
      <c r="U29" s="3"/>
      <c r="V29" s="3"/>
      <c r="W29" s="3"/>
      <c r="X29" s="3"/>
      <c r="Y29" s="3"/>
      <c r="Z29" s="3"/>
      <c r="AA29" s="3"/>
    </row>
    <row r="30" spans="1:27" ht="15.6" x14ac:dyDescent="0.3">
      <c r="A30" s="3"/>
      <c r="B30" s="3"/>
      <c r="C30" s="3"/>
      <c r="D30" s="3"/>
      <c r="E30" s="3"/>
      <c r="F30" s="3"/>
      <c r="G30" s="3"/>
      <c r="H30" s="3"/>
      <c r="I30" s="3"/>
      <c r="J30" s="3"/>
      <c r="K30" s="3"/>
      <c r="L30" s="3"/>
      <c r="M30" s="3"/>
      <c r="N30" s="3"/>
      <c r="O30" s="3"/>
      <c r="P30" s="3"/>
      <c r="Q30" s="3"/>
      <c r="R30" s="3"/>
      <c r="S30" s="3"/>
      <c r="T30" s="3"/>
      <c r="U30" s="3"/>
      <c r="V30" s="3"/>
      <c r="W30" s="3"/>
      <c r="X30" s="3"/>
      <c r="Y30" s="3"/>
      <c r="Z30" s="3"/>
      <c r="AA30" s="3"/>
    </row>
    <row r="31" spans="1:27" ht="15.6" x14ac:dyDescent="0.3">
      <c r="A31" s="3"/>
      <c r="B31" s="3"/>
      <c r="C31" s="3"/>
      <c r="D31" s="3"/>
      <c r="E31" s="3"/>
      <c r="F31" s="3"/>
      <c r="G31" s="3"/>
      <c r="H31" s="3"/>
      <c r="I31" s="3"/>
      <c r="J31" s="3"/>
      <c r="K31" s="3"/>
      <c r="L31" s="3"/>
      <c r="M31" s="3"/>
      <c r="N31" s="3"/>
      <c r="O31" s="3"/>
      <c r="P31" s="3"/>
      <c r="Q31" s="3"/>
      <c r="R31" s="3"/>
      <c r="S31" s="3"/>
      <c r="T31" s="3"/>
      <c r="U31" s="3"/>
      <c r="V31" s="3"/>
      <c r="W31" s="3"/>
      <c r="X31" s="3"/>
      <c r="Y31" s="3"/>
      <c r="Z31" s="3"/>
      <c r="AA31" s="3"/>
    </row>
    <row r="32" spans="1:27" ht="15.6" x14ac:dyDescent="0.3">
      <c r="A32" s="3"/>
      <c r="B32" s="3"/>
      <c r="C32" s="3"/>
      <c r="D32" s="3"/>
      <c r="E32" s="3"/>
      <c r="F32" s="3"/>
      <c r="G32" s="3"/>
      <c r="H32" s="3"/>
      <c r="I32" s="3"/>
      <c r="J32" s="3"/>
      <c r="K32" s="3"/>
      <c r="L32" s="3"/>
      <c r="M32" s="3"/>
      <c r="N32" s="3"/>
      <c r="O32" s="3"/>
      <c r="P32" s="3"/>
      <c r="Q32" s="3"/>
      <c r="R32" s="3"/>
      <c r="S32" s="3"/>
      <c r="T32" s="3"/>
      <c r="U32" s="3"/>
      <c r="V32" s="3"/>
      <c r="W32" s="3"/>
      <c r="X32" s="3"/>
      <c r="Y32" s="3"/>
      <c r="Z32" s="3"/>
      <c r="AA32" s="3"/>
    </row>
    <row r="33" spans="1:27" ht="15.6" x14ac:dyDescent="0.3">
      <c r="A33" s="3"/>
      <c r="B33" s="3"/>
      <c r="C33" s="3"/>
      <c r="D33" s="3"/>
      <c r="E33" s="3"/>
      <c r="F33" s="3"/>
      <c r="G33" s="3"/>
      <c r="H33" s="3"/>
      <c r="I33" s="3"/>
      <c r="J33" s="3"/>
      <c r="K33" s="3"/>
      <c r="L33" s="3"/>
      <c r="M33" s="3"/>
      <c r="N33" s="3"/>
      <c r="O33" s="3"/>
      <c r="P33" s="3"/>
      <c r="Q33" s="3"/>
      <c r="R33" s="3"/>
      <c r="S33" s="3"/>
      <c r="T33" s="3"/>
      <c r="U33" s="3"/>
      <c r="V33" s="3"/>
      <c r="W33" s="3"/>
      <c r="X33" s="3"/>
      <c r="Y33" s="3"/>
      <c r="Z33" s="3"/>
      <c r="AA33" s="3"/>
    </row>
    <row r="34" spans="1:27" ht="15.6" x14ac:dyDescent="0.3">
      <c r="A34" s="3"/>
      <c r="B34" s="3"/>
      <c r="C34" s="3"/>
      <c r="D34" s="3"/>
      <c r="E34" s="3"/>
      <c r="F34" s="3"/>
      <c r="G34" s="3"/>
      <c r="H34" s="3"/>
      <c r="I34" s="3"/>
      <c r="J34" s="3"/>
      <c r="K34" s="3"/>
      <c r="L34" s="3"/>
      <c r="M34" s="3"/>
      <c r="N34" s="3"/>
      <c r="O34" s="3"/>
      <c r="P34" s="3"/>
      <c r="Q34" s="3"/>
      <c r="R34" s="3"/>
      <c r="S34" s="3"/>
      <c r="T34" s="3"/>
      <c r="U34" s="3"/>
      <c r="V34" s="3"/>
      <c r="W34" s="3"/>
      <c r="X34" s="3"/>
      <c r="Y34" s="3"/>
      <c r="Z34" s="3"/>
      <c r="AA34" s="3"/>
    </row>
    <row r="35" spans="1:27" ht="15.6" x14ac:dyDescent="0.3">
      <c r="A35" s="3"/>
      <c r="B35" s="3"/>
      <c r="C35" s="3"/>
      <c r="D35" s="3"/>
      <c r="E35" s="3"/>
      <c r="F35" s="3"/>
      <c r="G35" s="3"/>
      <c r="H35" s="3"/>
      <c r="I35" s="3"/>
      <c r="J35" s="3"/>
      <c r="K35" s="3"/>
      <c r="L35" s="3"/>
      <c r="M35" s="3"/>
      <c r="N35" s="3"/>
      <c r="O35" s="3"/>
      <c r="P35" s="3"/>
      <c r="Q35" s="3"/>
      <c r="R35" s="3"/>
      <c r="S35" s="3"/>
      <c r="T35" s="3"/>
      <c r="U35" s="3"/>
      <c r="V35" s="3"/>
      <c r="W35" s="3"/>
      <c r="X35" s="3"/>
      <c r="Y35" s="3"/>
      <c r="Z35" s="3"/>
      <c r="AA35" s="3"/>
    </row>
    <row r="36" spans="1:27" ht="15.6" x14ac:dyDescent="0.3">
      <c r="A36" s="3"/>
      <c r="B36" s="3"/>
      <c r="C36" s="3"/>
      <c r="D36" s="3"/>
      <c r="E36" s="3"/>
      <c r="F36" s="3"/>
      <c r="G36" s="3"/>
      <c r="H36" s="3"/>
      <c r="I36" s="3"/>
      <c r="J36" s="3"/>
      <c r="K36" s="3"/>
      <c r="L36" s="3"/>
      <c r="M36" s="3"/>
      <c r="N36" s="3"/>
      <c r="O36" s="3"/>
      <c r="P36" s="3"/>
      <c r="Q36" s="3"/>
      <c r="R36" s="3"/>
      <c r="S36" s="3"/>
      <c r="T36" s="3"/>
      <c r="U36" s="3"/>
      <c r="V36" s="3"/>
      <c r="W36" s="3"/>
      <c r="X36" s="3"/>
      <c r="Y36" s="3"/>
      <c r="Z36" s="3"/>
      <c r="AA36" s="3"/>
    </row>
    <row r="37" spans="1:27" ht="15.6" x14ac:dyDescent="0.3">
      <c r="A37" s="3"/>
      <c r="B37" s="3"/>
      <c r="C37" s="3"/>
      <c r="D37" s="3"/>
      <c r="E37" s="3"/>
      <c r="F37" s="3"/>
      <c r="G37" s="3"/>
      <c r="H37" s="3"/>
      <c r="I37" s="3"/>
      <c r="J37" s="3"/>
      <c r="K37" s="3"/>
      <c r="L37" s="3"/>
      <c r="M37" s="3"/>
      <c r="N37" s="3"/>
      <c r="O37" s="3"/>
      <c r="P37" s="3"/>
      <c r="Q37" s="3"/>
      <c r="R37" s="3"/>
      <c r="S37" s="3"/>
      <c r="T37" s="3"/>
      <c r="U37" s="3"/>
      <c r="V37" s="3"/>
      <c r="W37" s="3"/>
      <c r="X37" s="3"/>
      <c r="Y37" s="3"/>
      <c r="Z37" s="3"/>
      <c r="AA37" s="3"/>
    </row>
    <row r="38" spans="1:27" ht="15.6" x14ac:dyDescent="0.3">
      <c r="A38" s="3"/>
      <c r="B38" s="3"/>
      <c r="C38" s="3"/>
      <c r="D38" s="3"/>
      <c r="E38" s="3"/>
      <c r="F38" s="3"/>
      <c r="G38" s="3"/>
      <c r="H38" s="3"/>
      <c r="I38" s="3"/>
      <c r="J38" s="3"/>
      <c r="K38" s="3"/>
      <c r="L38" s="3"/>
      <c r="M38" s="3"/>
      <c r="N38" s="3"/>
      <c r="O38" s="3"/>
      <c r="P38" s="3"/>
      <c r="Q38" s="3"/>
      <c r="R38" s="3"/>
      <c r="S38" s="3"/>
      <c r="T38" s="3"/>
      <c r="U38" s="3"/>
      <c r="V38" s="3"/>
      <c r="W38" s="3"/>
      <c r="X38" s="3"/>
      <c r="Y38" s="3"/>
      <c r="Z38" s="3"/>
      <c r="AA38" s="3"/>
    </row>
    <row r="39" spans="1:27" ht="15.6" x14ac:dyDescent="0.3">
      <c r="A39" s="3"/>
      <c r="B39" s="3"/>
      <c r="C39" s="3"/>
      <c r="D39" s="3"/>
      <c r="E39" s="3"/>
      <c r="F39" s="3"/>
      <c r="G39" s="3"/>
      <c r="H39" s="3"/>
      <c r="I39" s="3"/>
      <c r="J39" s="3"/>
      <c r="K39" s="3"/>
      <c r="L39" s="3"/>
      <c r="M39" s="3"/>
      <c r="N39" s="3"/>
      <c r="O39" s="3"/>
      <c r="P39" s="3"/>
      <c r="Q39" s="3"/>
      <c r="R39" s="3"/>
      <c r="S39" s="3"/>
      <c r="T39" s="3"/>
      <c r="U39" s="3"/>
      <c r="V39" s="3"/>
      <c r="W39" s="3"/>
      <c r="X39" s="3"/>
      <c r="Y39" s="3"/>
      <c r="Z39" s="3"/>
      <c r="AA39" s="3"/>
    </row>
    <row r="40" spans="1:27" ht="15.6" x14ac:dyDescent="0.3">
      <c r="A40" s="3"/>
      <c r="B40" s="3"/>
      <c r="C40" s="3"/>
      <c r="D40" s="3"/>
      <c r="E40" s="3"/>
      <c r="F40" s="3"/>
      <c r="G40" s="3"/>
      <c r="H40" s="3"/>
      <c r="I40" s="3"/>
      <c r="J40" s="3"/>
      <c r="K40" s="3"/>
      <c r="L40" s="3"/>
      <c r="M40" s="3"/>
      <c r="N40" s="3"/>
      <c r="O40" s="3"/>
      <c r="P40" s="3"/>
      <c r="Q40" s="3"/>
      <c r="R40" s="3"/>
      <c r="S40" s="3"/>
      <c r="T40" s="3"/>
      <c r="U40" s="3"/>
      <c r="V40" s="3"/>
      <c r="W40" s="3"/>
      <c r="X40" s="3"/>
      <c r="Y40" s="3"/>
      <c r="Z40" s="3"/>
      <c r="AA40" s="3"/>
    </row>
    <row r="41" spans="1:27" ht="15.6" x14ac:dyDescent="0.3">
      <c r="A41" s="3"/>
      <c r="B41" s="3"/>
      <c r="C41" s="3"/>
      <c r="D41" s="3"/>
      <c r="E41" s="3"/>
      <c r="F41" s="3"/>
      <c r="G41" s="3"/>
      <c r="H41" s="3"/>
      <c r="I41" s="3"/>
      <c r="J41" s="3"/>
      <c r="K41" s="3"/>
      <c r="L41" s="3"/>
      <c r="M41" s="3"/>
      <c r="N41" s="3"/>
      <c r="O41" s="3"/>
      <c r="P41" s="3"/>
      <c r="Q41" s="3"/>
      <c r="R41" s="3"/>
      <c r="S41" s="3"/>
      <c r="T41" s="3"/>
      <c r="U41" s="3"/>
      <c r="V41" s="3"/>
      <c r="W41" s="3"/>
      <c r="X41" s="3"/>
      <c r="Y41" s="3"/>
      <c r="Z41" s="3"/>
      <c r="AA41" s="3"/>
    </row>
    <row r="42" spans="1:27" ht="15.6" x14ac:dyDescent="0.3">
      <c r="A42" s="3"/>
      <c r="B42" s="3"/>
      <c r="C42" s="3"/>
      <c r="D42" s="3"/>
      <c r="E42" s="3"/>
      <c r="F42" s="3"/>
      <c r="G42" s="3"/>
      <c r="H42" s="3"/>
      <c r="I42" s="3"/>
      <c r="J42" s="3"/>
      <c r="K42" s="3"/>
      <c r="L42" s="3"/>
      <c r="M42" s="3"/>
      <c r="N42" s="3"/>
      <c r="O42" s="3"/>
      <c r="P42" s="3"/>
      <c r="Q42" s="3"/>
      <c r="R42" s="3"/>
      <c r="S42" s="3"/>
      <c r="T42" s="3"/>
      <c r="U42" s="3"/>
      <c r="V42" s="3"/>
      <c r="W42" s="3"/>
      <c r="X42" s="3"/>
      <c r="Y42" s="3"/>
      <c r="Z42" s="3"/>
      <c r="AA42" s="3"/>
    </row>
    <row r="43" spans="1:27" ht="15.6" x14ac:dyDescent="0.3">
      <c r="A43" s="3"/>
      <c r="B43" s="3"/>
      <c r="C43" s="3"/>
      <c r="D43" s="3"/>
      <c r="E43" s="3"/>
      <c r="F43" s="3"/>
      <c r="G43" s="3"/>
      <c r="H43" s="3"/>
      <c r="I43" s="3"/>
      <c r="J43" s="3"/>
      <c r="K43" s="3"/>
      <c r="L43" s="3"/>
      <c r="M43" s="3"/>
      <c r="N43" s="3"/>
      <c r="O43" s="3"/>
      <c r="P43" s="3"/>
      <c r="Q43" s="3"/>
      <c r="R43" s="3"/>
      <c r="S43" s="3"/>
      <c r="T43" s="3"/>
      <c r="U43" s="3"/>
      <c r="V43" s="3"/>
      <c r="W43" s="3"/>
      <c r="X43" s="3"/>
      <c r="Y43" s="3"/>
      <c r="Z43" s="3"/>
      <c r="AA43" s="3"/>
    </row>
    <row r="44" spans="1:27" ht="15.6" x14ac:dyDescent="0.3">
      <c r="A44" s="3"/>
      <c r="B44" s="3"/>
      <c r="C44" s="3"/>
      <c r="D44" s="3"/>
      <c r="E44" s="3"/>
      <c r="F44" s="3"/>
      <c r="G44" s="3"/>
      <c r="H44" s="3"/>
      <c r="I44" s="3"/>
      <c r="J44" s="3"/>
      <c r="K44" s="3"/>
      <c r="L44" s="3"/>
      <c r="M44" s="3"/>
      <c r="N44" s="3"/>
      <c r="O44" s="3"/>
      <c r="P44" s="3"/>
      <c r="Q44" s="3"/>
      <c r="R44" s="3"/>
      <c r="S44" s="3"/>
      <c r="T44" s="3"/>
      <c r="U44" s="3"/>
      <c r="V44" s="3"/>
      <c r="W44" s="3"/>
      <c r="X44" s="3"/>
      <c r="Y44" s="3"/>
      <c r="Z44" s="3"/>
      <c r="AA44" s="3"/>
    </row>
    <row r="45" spans="1:27" ht="15.6" x14ac:dyDescent="0.3">
      <c r="A45" s="3"/>
      <c r="B45" s="3"/>
      <c r="C45" s="3"/>
      <c r="D45" s="3"/>
      <c r="E45" s="3"/>
      <c r="F45" s="3"/>
      <c r="G45" s="3"/>
      <c r="H45" s="3"/>
      <c r="I45" s="3"/>
      <c r="J45" s="3"/>
      <c r="K45" s="3"/>
      <c r="L45" s="3"/>
      <c r="M45" s="3"/>
      <c r="N45" s="3"/>
      <c r="O45" s="3"/>
      <c r="P45" s="3"/>
      <c r="Q45" s="3"/>
      <c r="R45" s="3"/>
      <c r="S45" s="3"/>
      <c r="T45" s="3"/>
      <c r="U45" s="3"/>
      <c r="V45" s="3"/>
      <c r="W45" s="3"/>
      <c r="X45" s="3"/>
      <c r="Y45" s="3"/>
      <c r="Z45" s="3"/>
      <c r="AA45" s="3"/>
    </row>
    <row r="46" spans="1:27" ht="15.6" x14ac:dyDescent="0.3">
      <c r="A46" s="3"/>
      <c r="B46" s="3"/>
      <c r="C46" s="3"/>
      <c r="D46" s="3"/>
      <c r="E46" s="3"/>
      <c r="F46" s="3"/>
      <c r="G46" s="3"/>
      <c r="H46" s="3"/>
      <c r="I46" s="3"/>
      <c r="J46" s="3"/>
      <c r="K46" s="3"/>
      <c r="L46" s="3"/>
      <c r="M46" s="3"/>
      <c r="N46" s="3"/>
      <c r="O46" s="3"/>
      <c r="P46" s="3"/>
      <c r="Q46" s="3"/>
      <c r="R46" s="3"/>
      <c r="S46" s="3"/>
      <c r="T46" s="3"/>
      <c r="U46" s="3"/>
      <c r="V46" s="3"/>
      <c r="W46" s="3"/>
      <c r="X46" s="3"/>
      <c r="Y46" s="3"/>
      <c r="Z46" s="3"/>
      <c r="AA46" s="3"/>
    </row>
    <row r="47" spans="1:27" ht="15.6" x14ac:dyDescent="0.3">
      <c r="A47" s="3"/>
      <c r="B47" s="3"/>
      <c r="C47" s="3"/>
      <c r="D47" s="3"/>
      <c r="E47" s="3"/>
      <c r="F47" s="3"/>
      <c r="G47" s="3"/>
      <c r="H47" s="3"/>
      <c r="I47" s="3"/>
      <c r="J47" s="3"/>
      <c r="K47" s="3"/>
      <c r="L47" s="3"/>
      <c r="M47" s="3"/>
      <c r="N47" s="3"/>
      <c r="O47" s="3"/>
      <c r="P47" s="3"/>
      <c r="Q47" s="3"/>
      <c r="R47" s="3"/>
      <c r="S47" s="3"/>
      <c r="T47" s="3"/>
      <c r="U47" s="3"/>
      <c r="V47" s="3"/>
      <c r="W47" s="3"/>
      <c r="X47" s="3"/>
      <c r="Y47" s="3"/>
      <c r="Z47" s="3"/>
      <c r="AA47" s="3"/>
    </row>
    <row r="48" spans="1:27" ht="15.6" x14ac:dyDescent="0.3">
      <c r="A48" s="3"/>
      <c r="B48" s="3"/>
      <c r="C48" s="3"/>
      <c r="D48" s="3"/>
      <c r="E48" s="3"/>
      <c r="F48" s="3"/>
      <c r="G48" s="3"/>
      <c r="H48" s="3"/>
      <c r="I48" s="3"/>
      <c r="J48" s="3"/>
      <c r="K48" s="3"/>
      <c r="L48" s="3"/>
      <c r="M48" s="3"/>
      <c r="N48" s="3"/>
      <c r="O48" s="3"/>
      <c r="P48" s="3"/>
      <c r="Q48" s="3"/>
      <c r="R48" s="3"/>
      <c r="S48" s="3"/>
      <c r="T48" s="3"/>
      <c r="U48" s="3"/>
      <c r="V48" s="3"/>
      <c r="W48" s="3"/>
      <c r="X48" s="3"/>
      <c r="Y48" s="3"/>
      <c r="Z48" s="3"/>
      <c r="AA48" s="3"/>
    </row>
    <row r="49" spans="1:27" ht="15.6" x14ac:dyDescent="0.3">
      <c r="A49" s="3"/>
      <c r="B49" s="3"/>
      <c r="C49" s="3"/>
      <c r="D49" s="3"/>
      <c r="E49" s="3"/>
      <c r="F49" s="3"/>
      <c r="G49" s="3"/>
      <c r="H49" s="3"/>
      <c r="I49" s="3"/>
      <c r="J49" s="3"/>
      <c r="K49" s="3"/>
      <c r="L49" s="3"/>
      <c r="M49" s="3"/>
      <c r="N49" s="3"/>
      <c r="O49" s="3"/>
      <c r="P49" s="3"/>
      <c r="Q49" s="3"/>
      <c r="R49" s="3"/>
      <c r="S49" s="3"/>
      <c r="T49" s="3"/>
      <c r="U49" s="3"/>
      <c r="V49" s="3"/>
      <c r="W49" s="3"/>
      <c r="X49" s="3"/>
      <c r="Y49" s="3"/>
      <c r="Z49" s="3"/>
      <c r="AA49" s="3"/>
    </row>
    <row r="50" spans="1:27" ht="15.6" x14ac:dyDescent="0.3">
      <c r="A50" s="3"/>
      <c r="B50" s="3"/>
      <c r="C50" s="3"/>
      <c r="D50" s="3"/>
      <c r="E50" s="3"/>
      <c r="F50" s="3"/>
      <c r="G50" s="3"/>
      <c r="H50" s="3"/>
      <c r="I50" s="3"/>
      <c r="J50" s="3"/>
      <c r="K50" s="3"/>
      <c r="L50" s="3"/>
      <c r="M50" s="3"/>
      <c r="N50" s="3"/>
      <c r="O50" s="3"/>
      <c r="P50" s="3"/>
      <c r="Q50" s="3"/>
      <c r="R50" s="3"/>
      <c r="S50" s="3"/>
      <c r="T50" s="3"/>
      <c r="U50" s="3"/>
      <c r="V50" s="3"/>
      <c r="W50" s="3"/>
      <c r="X50" s="3"/>
      <c r="Y50" s="3"/>
      <c r="Z50" s="3"/>
      <c r="AA50" s="3"/>
    </row>
    <row r="51" spans="1:27" ht="15.6" x14ac:dyDescent="0.3">
      <c r="A51" s="3"/>
      <c r="B51" s="3"/>
      <c r="C51" s="3"/>
      <c r="D51" s="3"/>
      <c r="E51" s="3"/>
      <c r="F51" s="3"/>
      <c r="G51" s="3"/>
      <c r="H51" s="3"/>
      <c r="I51" s="3"/>
      <c r="J51" s="3"/>
      <c r="K51" s="3"/>
      <c r="L51" s="3"/>
      <c r="M51" s="3"/>
      <c r="N51" s="3"/>
      <c r="O51" s="3"/>
      <c r="P51" s="3"/>
      <c r="Q51" s="3"/>
      <c r="R51" s="3"/>
      <c r="S51" s="3"/>
      <c r="T51" s="3"/>
      <c r="U51" s="3"/>
      <c r="V51" s="3"/>
      <c r="W51" s="3"/>
      <c r="X51" s="3"/>
      <c r="Y51" s="3"/>
      <c r="Z51" s="3"/>
      <c r="AA51" s="3"/>
    </row>
    <row r="52" spans="1:27" ht="15.6" x14ac:dyDescent="0.3">
      <c r="A52" s="3"/>
      <c r="B52" s="3"/>
      <c r="C52" s="3"/>
      <c r="D52" s="3"/>
      <c r="E52" s="3"/>
      <c r="F52" s="3"/>
      <c r="G52" s="3"/>
      <c r="H52" s="3"/>
      <c r="I52" s="3"/>
      <c r="J52" s="3"/>
      <c r="K52" s="3"/>
      <c r="L52" s="3"/>
      <c r="M52" s="3"/>
      <c r="N52" s="3"/>
      <c r="O52" s="3"/>
      <c r="P52" s="3"/>
      <c r="Q52" s="3"/>
      <c r="R52" s="3"/>
      <c r="S52" s="3"/>
      <c r="T52" s="3"/>
      <c r="U52" s="3"/>
      <c r="V52" s="3"/>
      <c r="W52" s="3"/>
      <c r="X52" s="3"/>
      <c r="Y52" s="3"/>
      <c r="Z52" s="3"/>
      <c r="AA52" s="3"/>
    </row>
    <row r="53" spans="1:27" ht="15.6" x14ac:dyDescent="0.3">
      <c r="A53" s="3"/>
      <c r="B53" s="3"/>
      <c r="C53" s="3"/>
      <c r="D53" s="3"/>
      <c r="E53" s="3"/>
      <c r="F53" s="3"/>
      <c r="G53" s="3"/>
      <c r="H53" s="3"/>
      <c r="I53" s="3"/>
      <c r="J53" s="3"/>
      <c r="K53" s="3"/>
      <c r="L53" s="3"/>
      <c r="M53" s="3"/>
      <c r="N53" s="3"/>
      <c r="O53" s="3"/>
      <c r="P53" s="3"/>
      <c r="Q53" s="3"/>
      <c r="R53" s="3"/>
      <c r="S53" s="3"/>
      <c r="T53" s="3"/>
      <c r="U53" s="3"/>
      <c r="V53" s="3"/>
      <c r="W53" s="3"/>
      <c r="X53" s="3"/>
      <c r="Y53" s="3"/>
      <c r="Z53" s="3"/>
      <c r="AA53" s="3"/>
    </row>
    <row r="54" spans="1:27" ht="15.6" x14ac:dyDescent="0.3">
      <c r="A54" s="3"/>
      <c r="B54" s="3"/>
      <c r="C54" s="3"/>
      <c r="D54" s="3"/>
      <c r="E54" s="3"/>
      <c r="F54" s="3"/>
      <c r="G54" s="3"/>
      <c r="H54" s="3"/>
      <c r="I54" s="3"/>
      <c r="J54" s="3"/>
      <c r="K54" s="3"/>
      <c r="L54" s="3"/>
      <c r="M54" s="3"/>
      <c r="N54" s="3"/>
      <c r="O54" s="3"/>
      <c r="P54" s="3"/>
      <c r="Q54" s="3"/>
      <c r="R54" s="3"/>
      <c r="S54" s="3"/>
      <c r="T54" s="3"/>
      <c r="U54" s="3"/>
      <c r="V54" s="3"/>
      <c r="W54" s="3"/>
      <c r="X54" s="3"/>
      <c r="Y54" s="3"/>
      <c r="Z54" s="3"/>
      <c r="AA54" s="3"/>
    </row>
    <row r="55" spans="1:27" ht="15.6" x14ac:dyDescent="0.3">
      <c r="A55" s="3"/>
      <c r="B55" s="3"/>
      <c r="C55" s="3"/>
      <c r="D55" s="3"/>
      <c r="E55" s="3"/>
      <c r="F55" s="3"/>
      <c r="G55" s="3"/>
      <c r="H55" s="3"/>
      <c r="I55" s="3"/>
      <c r="J55" s="3"/>
      <c r="K55" s="3"/>
      <c r="L55" s="3"/>
      <c r="M55" s="3"/>
      <c r="N55" s="3"/>
      <c r="O55" s="3"/>
      <c r="P55" s="3"/>
      <c r="Q55" s="3"/>
      <c r="R55" s="3"/>
      <c r="S55" s="3"/>
      <c r="T55" s="3"/>
      <c r="U55" s="3"/>
      <c r="V55" s="3"/>
      <c r="W55" s="3"/>
      <c r="X55" s="3"/>
      <c r="Y55" s="3"/>
      <c r="Z55" s="3"/>
      <c r="AA55" s="3"/>
    </row>
    <row r="56" spans="1:27" ht="15.6" x14ac:dyDescent="0.3">
      <c r="A56" s="3"/>
      <c r="B56" s="3"/>
      <c r="C56" s="3"/>
      <c r="D56" s="3"/>
      <c r="E56" s="3"/>
      <c r="F56" s="3"/>
      <c r="G56" s="3"/>
      <c r="H56" s="3"/>
      <c r="I56" s="3"/>
      <c r="J56" s="3"/>
      <c r="K56" s="3"/>
      <c r="L56" s="3"/>
      <c r="M56" s="3"/>
      <c r="N56" s="3"/>
      <c r="O56" s="3"/>
      <c r="P56" s="3"/>
      <c r="Q56" s="3"/>
      <c r="R56" s="3"/>
      <c r="S56" s="3"/>
      <c r="T56" s="3"/>
      <c r="U56" s="3"/>
      <c r="V56" s="3"/>
      <c r="W56" s="3"/>
      <c r="X56" s="3"/>
      <c r="Y56" s="3"/>
      <c r="Z56" s="3"/>
      <c r="AA56" s="3"/>
    </row>
    <row r="57" spans="1:27" ht="15.6" x14ac:dyDescent="0.3">
      <c r="A57" s="3"/>
      <c r="B57" s="3"/>
      <c r="C57" s="3"/>
      <c r="D57" s="3"/>
      <c r="E57" s="3"/>
      <c r="F57" s="3"/>
      <c r="G57" s="3"/>
      <c r="H57" s="3"/>
      <c r="I57" s="3"/>
      <c r="J57" s="3"/>
      <c r="K57" s="3"/>
      <c r="L57" s="3"/>
      <c r="M57" s="3"/>
      <c r="N57" s="3"/>
      <c r="O57" s="3"/>
      <c r="P57" s="3"/>
      <c r="Q57" s="3"/>
      <c r="R57" s="3"/>
      <c r="S57" s="3"/>
      <c r="T57" s="3"/>
      <c r="U57" s="3"/>
      <c r="V57" s="3"/>
      <c r="W57" s="3"/>
      <c r="X57" s="3"/>
      <c r="Y57" s="3"/>
      <c r="Z57" s="3"/>
      <c r="AA57" s="3"/>
    </row>
    <row r="58" spans="1:27" ht="15.6" x14ac:dyDescent="0.3">
      <c r="A58" s="3"/>
      <c r="B58" s="3"/>
      <c r="C58" s="3"/>
      <c r="D58" s="3"/>
      <c r="E58" s="3"/>
      <c r="F58" s="3"/>
      <c r="G58" s="3"/>
      <c r="H58" s="3"/>
      <c r="I58" s="3"/>
      <c r="J58" s="3"/>
      <c r="K58" s="3"/>
      <c r="L58" s="3"/>
      <c r="M58" s="3"/>
      <c r="N58" s="3"/>
      <c r="O58" s="3"/>
      <c r="P58" s="3"/>
      <c r="Q58" s="3"/>
      <c r="R58" s="3"/>
      <c r="S58" s="3"/>
      <c r="T58" s="3"/>
      <c r="U58" s="3"/>
      <c r="V58" s="3"/>
      <c r="W58" s="3"/>
      <c r="X58" s="3"/>
      <c r="Y58" s="3"/>
      <c r="Z58" s="3"/>
      <c r="AA58" s="3"/>
    </row>
    <row r="59" spans="1:27" ht="15.6" x14ac:dyDescent="0.3">
      <c r="A59" s="3"/>
      <c r="B59" s="3"/>
      <c r="C59" s="3"/>
      <c r="D59" s="3"/>
      <c r="E59" s="3"/>
      <c r="F59" s="3"/>
      <c r="G59" s="3"/>
      <c r="H59" s="3"/>
      <c r="I59" s="3"/>
      <c r="J59" s="3"/>
      <c r="K59" s="3"/>
      <c r="L59" s="3"/>
      <c r="M59" s="3"/>
      <c r="N59" s="3"/>
      <c r="O59" s="3"/>
      <c r="P59" s="3"/>
      <c r="Q59" s="3"/>
      <c r="R59" s="3"/>
      <c r="S59" s="3"/>
      <c r="T59" s="3"/>
      <c r="U59" s="3"/>
      <c r="V59" s="3"/>
      <c r="W59" s="3"/>
      <c r="X59" s="3"/>
      <c r="Y59" s="3"/>
      <c r="Z59" s="3"/>
      <c r="AA59" s="3"/>
    </row>
    <row r="60" spans="1:27" ht="15.6" x14ac:dyDescent="0.3">
      <c r="A60" s="3"/>
      <c r="B60" s="3"/>
      <c r="C60" s="3"/>
      <c r="D60" s="3"/>
      <c r="E60" s="3"/>
      <c r="F60" s="3"/>
      <c r="G60" s="3"/>
      <c r="H60" s="3"/>
      <c r="I60" s="3"/>
      <c r="J60" s="3"/>
      <c r="K60" s="3"/>
      <c r="L60" s="3"/>
      <c r="M60" s="3"/>
      <c r="N60" s="3"/>
      <c r="O60" s="3"/>
      <c r="P60" s="3"/>
      <c r="Q60" s="3"/>
      <c r="R60" s="3"/>
      <c r="S60" s="3"/>
      <c r="T60" s="3"/>
      <c r="U60" s="3"/>
      <c r="V60" s="3"/>
      <c r="W60" s="3"/>
      <c r="X60" s="3"/>
      <c r="Y60" s="3"/>
      <c r="Z60" s="3"/>
      <c r="AA60" s="3"/>
    </row>
    <row r="61" spans="1:27" ht="15.6" x14ac:dyDescent="0.3">
      <c r="A61" s="3"/>
      <c r="B61" s="3"/>
      <c r="C61" s="3"/>
      <c r="D61" s="3"/>
      <c r="E61" s="3"/>
      <c r="F61" s="3"/>
      <c r="G61" s="3"/>
      <c r="H61" s="3"/>
      <c r="I61" s="3"/>
      <c r="J61" s="3"/>
      <c r="K61" s="3"/>
      <c r="L61" s="3"/>
      <c r="M61" s="3"/>
      <c r="N61" s="3"/>
      <c r="O61" s="3"/>
      <c r="P61" s="3"/>
      <c r="Q61" s="3"/>
      <c r="R61" s="3"/>
      <c r="S61" s="3"/>
      <c r="T61" s="3"/>
      <c r="U61" s="3"/>
      <c r="V61" s="3"/>
      <c r="W61" s="3"/>
      <c r="X61" s="3"/>
      <c r="Y61" s="3"/>
      <c r="Z61" s="3"/>
      <c r="AA61" s="3"/>
    </row>
    <row r="62" spans="1:27" ht="15.6" x14ac:dyDescent="0.3">
      <c r="A62" s="3"/>
      <c r="B62" s="3"/>
      <c r="C62" s="3"/>
      <c r="D62" s="3"/>
      <c r="E62" s="3"/>
      <c r="F62" s="3"/>
      <c r="G62" s="3"/>
      <c r="H62" s="3"/>
      <c r="I62" s="3"/>
      <c r="J62" s="3"/>
      <c r="K62" s="3"/>
      <c r="L62" s="3"/>
      <c r="M62" s="3"/>
      <c r="N62" s="3"/>
      <c r="O62" s="3"/>
      <c r="P62" s="3"/>
      <c r="Q62" s="3"/>
      <c r="R62" s="3"/>
      <c r="S62" s="3"/>
      <c r="T62" s="3"/>
      <c r="U62" s="3"/>
      <c r="V62" s="3"/>
      <c r="W62" s="3"/>
      <c r="X62" s="3"/>
      <c r="Y62" s="3"/>
      <c r="Z62" s="3"/>
      <c r="AA62" s="3"/>
    </row>
    <row r="63" spans="1:27" ht="15.6" x14ac:dyDescent="0.3">
      <c r="A63" s="3"/>
      <c r="B63" s="3"/>
      <c r="C63" s="3"/>
      <c r="D63" s="3"/>
      <c r="E63" s="3"/>
      <c r="F63" s="3"/>
      <c r="G63" s="3"/>
      <c r="H63" s="3"/>
      <c r="I63" s="3"/>
      <c r="J63" s="3"/>
      <c r="K63" s="3"/>
      <c r="L63" s="3"/>
      <c r="M63" s="3"/>
      <c r="N63" s="3"/>
      <c r="O63" s="3"/>
      <c r="P63" s="3"/>
      <c r="Q63" s="3"/>
      <c r="R63" s="3"/>
      <c r="S63" s="3"/>
      <c r="T63" s="3"/>
      <c r="U63" s="3"/>
      <c r="V63" s="3"/>
      <c r="W63" s="3"/>
      <c r="X63" s="3"/>
      <c r="Y63" s="3"/>
      <c r="Z63" s="3"/>
      <c r="AA63" s="3"/>
    </row>
    <row r="64" spans="1:27" ht="15.6" x14ac:dyDescent="0.3">
      <c r="A64" s="3"/>
      <c r="B64" s="3"/>
      <c r="C64" s="3"/>
      <c r="D64" s="3"/>
      <c r="E64" s="3"/>
      <c r="F64" s="3"/>
      <c r="G64" s="3"/>
      <c r="H64" s="3"/>
      <c r="I64" s="3"/>
      <c r="J64" s="3"/>
      <c r="K64" s="3"/>
      <c r="L64" s="3"/>
      <c r="M64" s="3"/>
      <c r="N64" s="3"/>
      <c r="O64" s="3"/>
      <c r="P64" s="3"/>
      <c r="Q64" s="3"/>
      <c r="R64" s="3"/>
      <c r="S64" s="3"/>
      <c r="T64" s="3"/>
      <c r="U64" s="3"/>
      <c r="V64" s="3"/>
      <c r="W64" s="3"/>
      <c r="X64" s="3"/>
      <c r="Y64" s="3"/>
      <c r="Z64" s="3"/>
      <c r="AA64" s="3"/>
    </row>
    <row r="65" spans="1:27" ht="15.6" x14ac:dyDescent="0.3">
      <c r="A65" s="3"/>
      <c r="B65" s="3"/>
      <c r="C65" s="3"/>
      <c r="D65" s="3"/>
      <c r="E65" s="3"/>
      <c r="F65" s="3"/>
      <c r="G65" s="3"/>
      <c r="H65" s="3"/>
      <c r="I65" s="3"/>
      <c r="J65" s="3"/>
      <c r="K65" s="3"/>
      <c r="L65" s="3"/>
      <c r="M65" s="3"/>
      <c r="N65" s="3"/>
      <c r="O65" s="3"/>
      <c r="P65" s="3"/>
      <c r="Q65" s="3"/>
      <c r="R65" s="3"/>
      <c r="S65" s="3"/>
      <c r="T65" s="3"/>
      <c r="U65" s="3"/>
      <c r="V65" s="3"/>
      <c r="W65" s="3"/>
      <c r="X65" s="3"/>
      <c r="Y65" s="3"/>
      <c r="Z65" s="3"/>
      <c r="AA65" s="3"/>
    </row>
    <row r="66" spans="1:27" ht="15.6" x14ac:dyDescent="0.3">
      <c r="A66" s="3"/>
      <c r="B66" s="3"/>
      <c r="C66" s="3"/>
      <c r="D66" s="3"/>
      <c r="E66" s="3"/>
      <c r="F66" s="3"/>
      <c r="G66" s="3"/>
      <c r="H66" s="3"/>
      <c r="I66" s="3"/>
      <c r="J66" s="3"/>
      <c r="K66" s="3"/>
      <c r="L66" s="3"/>
      <c r="M66" s="3"/>
      <c r="N66" s="3"/>
      <c r="O66" s="3"/>
      <c r="P66" s="3"/>
      <c r="Q66" s="3"/>
      <c r="R66" s="3"/>
      <c r="S66" s="3"/>
      <c r="T66" s="3"/>
      <c r="U66" s="3"/>
      <c r="V66" s="3"/>
      <c r="W66" s="3"/>
      <c r="X66" s="3"/>
      <c r="Y66" s="3"/>
      <c r="Z66" s="3"/>
      <c r="AA66" s="3"/>
    </row>
    <row r="67" spans="1:27" ht="15.6" x14ac:dyDescent="0.3">
      <c r="A67" s="3"/>
      <c r="B67" s="3"/>
      <c r="C67" s="3"/>
      <c r="D67" s="3"/>
      <c r="E67" s="3"/>
      <c r="F67" s="3"/>
      <c r="G67" s="3"/>
      <c r="H67" s="3"/>
      <c r="I67" s="3"/>
      <c r="J67" s="3"/>
      <c r="K67" s="3"/>
      <c r="L67" s="3"/>
      <c r="M67" s="3"/>
      <c r="N67" s="3"/>
      <c r="O67" s="3"/>
      <c r="P67" s="3"/>
      <c r="Q67" s="3"/>
      <c r="R67" s="3"/>
      <c r="S67" s="3"/>
      <c r="T67" s="3"/>
      <c r="U67" s="3"/>
      <c r="V67" s="3"/>
      <c r="W67" s="3"/>
      <c r="X67" s="3"/>
      <c r="Y67" s="3"/>
      <c r="Z67" s="3"/>
      <c r="AA67" s="3"/>
    </row>
    <row r="68" spans="1:27" ht="15.6" x14ac:dyDescent="0.3">
      <c r="A68" s="3"/>
      <c r="B68" s="3"/>
      <c r="C68" s="3"/>
      <c r="D68" s="3"/>
      <c r="E68" s="3"/>
      <c r="F68" s="3"/>
      <c r="G68" s="3"/>
      <c r="H68" s="3"/>
      <c r="I68" s="3"/>
      <c r="J68" s="3"/>
      <c r="K68" s="3"/>
      <c r="L68" s="3"/>
      <c r="M68" s="3"/>
      <c r="N68" s="3"/>
      <c r="O68" s="3"/>
      <c r="P68" s="3"/>
      <c r="Q68" s="3"/>
      <c r="R68" s="3"/>
      <c r="S68" s="3"/>
      <c r="T68" s="3"/>
      <c r="U68" s="3"/>
      <c r="V68" s="3"/>
      <c r="W68" s="3"/>
      <c r="X68" s="3"/>
      <c r="Y68" s="3"/>
      <c r="Z68" s="3"/>
      <c r="AA68" s="3"/>
    </row>
    <row r="69" spans="1:27" ht="15.6" x14ac:dyDescent="0.3">
      <c r="A69" s="3"/>
      <c r="B69" s="3"/>
      <c r="C69" s="3"/>
      <c r="D69" s="3"/>
      <c r="E69" s="3"/>
      <c r="F69" s="3"/>
      <c r="G69" s="3"/>
      <c r="H69" s="3"/>
      <c r="I69" s="3"/>
      <c r="J69" s="3"/>
      <c r="K69" s="3"/>
      <c r="L69" s="3"/>
      <c r="M69" s="3"/>
      <c r="N69" s="3"/>
      <c r="O69" s="3"/>
      <c r="P69" s="3"/>
      <c r="Q69" s="3"/>
      <c r="R69" s="3"/>
      <c r="S69" s="3"/>
      <c r="T69" s="3"/>
      <c r="U69" s="3"/>
      <c r="V69" s="3"/>
      <c r="W69" s="3"/>
      <c r="X69" s="3"/>
      <c r="Y69" s="3"/>
      <c r="Z69" s="3"/>
      <c r="AA69" s="3"/>
    </row>
    <row r="70" spans="1:27" ht="15.6" x14ac:dyDescent="0.3">
      <c r="A70" s="3"/>
      <c r="B70" s="3"/>
      <c r="C70" s="3"/>
      <c r="D70" s="3"/>
      <c r="E70" s="3"/>
      <c r="F70" s="3"/>
      <c r="G70" s="3"/>
      <c r="H70" s="3"/>
      <c r="I70" s="3"/>
      <c r="J70" s="3"/>
      <c r="K70" s="3"/>
      <c r="L70" s="3"/>
      <c r="M70" s="3"/>
      <c r="N70" s="3"/>
      <c r="O70" s="3"/>
      <c r="P70" s="3"/>
      <c r="Q70" s="3"/>
      <c r="R70" s="3"/>
      <c r="S70" s="3"/>
      <c r="T70" s="3"/>
      <c r="U70" s="3"/>
      <c r="V70" s="3"/>
      <c r="W70" s="3"/>
      <c r="X70" s="3"/>
      <c r="Y70" s="3"/>
      <c r="Z70" s="3"/>
      <c r="AA70" s="3"/>
    </row>
    <row r="71" spans="1:27" ht="15.6" x14ac:dyDescent="0.3">
      <c r="A71" s="3"/>
      <c r="B71" s="3"/>
      <c r="C71" s="3"/>
      <c r="D71" s="3"/>
      <c r="E71" s="3"/>
      <c r="F71" s="3"/>
      <c r="G71" s="3"/>
      <c r="H71" s="3"/>
      <c r="I71" s="3"/>
      <c r="J71" s="3"/>
      <c r="K71" s="3"/>
      <c r="L71" s="3"/>
      <c r="M71" s="3"/>
      <c r="N71" s="3"/>
      <c r="O71" s="3"/>
      <c r="P71" s="3"/>
      <c r="Q71" s="3"/>
      <c r="R71" s="3"/>
      <c r="S71" s="3"/>
      <c r="T71" s="3"/>
      <c r="U71" s="3"/>
      <c r="V71" s="3"/>
      <c r="W71" s="3"/>
      <c r="X71" s="3"/>
      <c r="Y71" s="3"/>
      <c r="Z71" s="3"/>
      <c r="AA71" s="3"/>
    </row>
    <row r="72" spans="1:27" ht="15.6" x14ac:dyDescent="0.3">
      <c r="A72" s="3"/>
      <c r="B72" s="3"/>
      <c r="C72" s="3"/>
      <c r="D72" s="3"/>
      <c r="E72" s="3"/>
      <c r="F72" s="3"/>
      <c r="G72" s="3"/>
      <c r="H72" s="3"/>
      <c r="I72" s="3"/>
      <c r="J72" s="3"/>
      <c r="K72" s="3"/>
      <c r="L72" s="3"/>
      <c r="M72" s="3"/>
      <c r="N72" s="3"/>
      <c r="O72" s="3"/>
      <c r="P72" s="3"/>
      <c r="Q72" s="3"/>
      <c r="R72" s="3"/>
      <c r="S72" s="3"/>
      <c r="T72" s="3"/>
      <c r="U72" s="3"/>
      <c r="V72" s="3"/>
      <c r="W72" s="3"/>
      <c r="X72" s="3"/>
      <c r="Y72" s="3"/>
      <c r="Z72" s="3"/>
      <c r="AA72" s="3"/>
    </row>
    <row r="73" spans="1:27" ht="15.6" x14ac:dyDescent="0.3">
      <c r="A73" s="3"/>
      <c r="B73" s="3"/>
      <c r="C73" s="3"/>
      <c r="D73" s="3"/>
      <c r="E73" s="3"/>
      <c r="F73" s="3"/>
      <c r="G73" s="3"/>
      <c r="H73" s="3"/>
      <c r="I73" s="3"/>
      <c r="J73" s="3"/>
      <c r="K73" s="3"/>
      <c r="L73" s="3"/>
      <c r="M73" s="3"/>
      <c r="N73" s="3"/>
      <c r="O73" s="3"/>
      <c r="P73" s="3"/>
      <c r="Q73" s="3"/>
      <c r="R73" s="3"/>
      <c r="S73" s="3"/>
      <c r="T73" s="3"/>
      <c r="U73" s="3"/>
      <c r="V73" s="3"/>
      <c r="W73" s="3"/>
      <c r="X73" s="3"/>
      <c r="Y73" s="3"/>
      <c r="Z73" s="3"/>
      <c r="AA73" s="3"/>
    </row>
    <row r="74" spans="1:27" ht="15.6" x14ac:dyDescent="0.3">
      <c r="A74" s="3"/>
      <c r="B74" s="3"/>
      <c r="C74" s="3"/>
      <c r="D74" s="3"/>
      <c r="E74" s="3"/>
      <c r="F74" s="3"/>
      <c r="G74" s="3"/>
      <c r="H74" s="3"/>
      <c r="I74" s="3"/>
      <c r="J74" s="3"/>
      <c r="K74" s="3"/>
      <c r="L74" s="3"/>
      <c r="M74" s="3"/>
      <c r="N74" s="3"/>
      <c r="O74" s="3"/>
      <c r="P74" s="3"/>
      <c r="Q74" s="3"/>
      <c r="R74" s="3"/>
      <c r="S74" s="3"/>
      <c r="T74" s="3"/>
      <c r="U74" s="3"/>
      <c r="V74" s="3"/>
      <c r="W74" s="3"/>
      <c r="X74" s="3"/>
      <c r="Y74" s="3"/>
      <c r="Z74" s="3"/>
      <c r="AA74" s="3"/>
    </row>
    <row r="75" spans="1:27" ht="15.6" x14ac:dyDescent="0.3">
      <c r="A75" s="3"/>
      <c r="B75" s="3"/>
      <c r="C75" s="3"/>
      <c r="D75" s="3"/>
      <c r="E75" s="3"/>
      <c r="F75" s="3"/>
      <c r="G75" s="3"/>
      <c r="H75" s="3"/>
      <c r="I75" s="3"/>
      <c r="J75" s="3"/>
      <c r="K75" s="3"/>
      <c r="L75" s="3"/>
      <c r="M75" s="3"/>
      <c r="N75" s="3"/>
      <c r="O75" s="3"/>
      <c r="P75" s="3"/>
      <c r="Q75" s="3"/>
      <c r="R75" s="3"/>
      <c r="S75" s="3"/>
      <c r="T75" s="3"/>
      <c r="U75" s="3"/>
      <c r="V75" s="3"/>
      <c r="W75" s="3"/>
      <c r="X75" s="3"/>
      <c r="Y75" s="3"/>
      <c r="Z75" s="3"/>
      <c r="AA75" s="3"/>
    </row>
    <row r="76" spans="1:27" ht="15.6" x14ac:dyDescent="0.3">
      <c r="A76" s="3"/>
      <c r="B76" s="3"/>
      <c r="C76" s="3"/>
      <c r="D76" s="3"/>
      <c r="E76" s="3"/>
      <c r="F76" s="3"/>
      <c r="G76" s="3"/>
      <c r="H76" s="3"/>
      <c r="I76" s="3"/>
      <c r="J76" s="3"/>
      <c r="K76" s="3"/>
      <c r="L76" s="3"/>
      <c r="M76" s="3"/>
      <c r="N76" s="3"/>
      <c r="O76" s="3"/>
      <c r="P76" s="3"/>
      <c r="Q76" s="3"/>
      <c r="R76" s="3"/>
      <c r="S76" s="3"/>
      <c r="T76" s="3"/>
      <c r="U76" s="3"/>
      <c r="V76" s="3"/>
      <c r="W76" s="3"/>
      <c r="X76" s="3"/>
      <c r="Y76" s="3"/>
      <c r="Z76" s="3"/>
      <c r="AA76" s="3"/>
    </row>
    <row r="77" spans="1:27" ht="15.6" x14ac:dyDescent="0.3">
      <c r="A77" s="3"/>
      <c r="B77" s="3"/>
      <c r="C77" s="3"/>
      <c r="D77" s="3"/>
      <c r="E77" s="3"/>
      <c r="F77" s="3"/>
      <c r="G77" s="3"/>
      <c r="H77" s="3"/>
      <c r="I77" s="3"/>
      <c r="J77" s="3"/>
      <c r="K77" s="3"/>
      <c r="L77" s="3"/>
      <c r="M77" s="3"/>
      <c r="N77" s="3"/>
      <c r="O77" s="3"/>
      <c r="P77" s="3"/>
      <c r="Q77" s="3"/>
      <c r="R77" s="3"/>
      <c r="S77" s="3"/>
      <c r="T77" s="3"/>
      <c r="U77" s="3"/>
      <c r="V77" s="3"/>
      <c r="W77" s="3"/>
      <c r="X77" s="3"/>
      <c r="Y77" s="3"/>
      <c r="Z77" s="3"/>
      <c r="AA77" s="3"/>
    </row>
    <row r="78" spans="1:27" ht="15.6" x14ac:dyDescent="0.3">
      <c r="A78" s="3"/>
      <c r="B78" s="3"/>
      <c r="C78" s="3"/>
      <c r="D78" s="3"/>
      <c r="E78" s="3"/>
      <c r="F78" s="3"/>
      <c r="G78" s="3"/>
      <c r="H78" s="3"/>
      <c r="I78" s="3"/>
      <c r="J78" s="3"/>
      <c r="K78" s="3"/>
      <c r="L78" s="3"/>
      <c r="M78" s="3"/>
      <c r="N78" s="3"/>
      <c r="O78" s="3"/>
      <c r="P78" s="3"/>
      <c r="Q78" s="3"/>
      <c r="R78" s="3"/>
      <c r="S78" s="3"/>
      <c r="T78" s="3"/>
      <c r="U78" s="3"/>
      <c r="V78" s="3"/>
      <c r="W78" s="3"/>
      <c r="X78" s="3"/>
      <c r="Y78" s="3"/>
      <c r="Z78" s="3"/>
      <c r="AA78" s="3"/>
    </row>
    <row r="79" spans="1:27" ht="15.6" x14ac:dyDescent="0.3">
      <c r="A79" s="3"/>
      <c r="B79" s="3"/>
      <c r="C79" s="3"/>
      <c r="D79" s="3"/>
      <c r="E79" s="3"/>
      <c r="F79" s="3"/>
      <c r="G79" s="3"/>
      <c r="H79" s="3"/>
      <c r="I79" s="3"/>
      <c r="J79" s="3"/>
      <c r="K79" s="3"/>
      <c r="L79" s="3"/>
      <c r="M79" s="3"/>
      <c r="N79" s="3"/>
      <c r="O79" s="3"/>
      <c r="P79" s="3"/>
      <c r="Q79" s="3"/>
      <c r="R79" s="3"/>
      <c r="S79" s="3"/>
      <c r="T79" s="3"/>
      <c r="U79" s="3"/>
      <c r="V79" s="3"/>
      <c r="W79" s="3"/>
      <c r="X79" s="3"/>
      <c r="Y79" s="3"/>
      <c r="Z79" s="3"/>
      <c r="AA79" s="3"/>
    </row>
    <row r="80" spans="1:27" ht="15.6" x14ac:dyDescent="0.3">
      <c r="A80" s="3"/>
      <c r="B80" s="3"/>
      <c r="C80" s="3"/>
      <c r="D80" s="3"/>
      <c r="E80" s="3"/>
      <c r="F80" s="3"/>
      <c r="G80" s="3"/>
      <c r="H80" s="3"/>
      <c r="I80" s="3"/>
      <c r="J80" s="3"/>
      <c r="K80" s="3"/>
      <c r="L80" s="3"/>
      <c r="M80" s="3"/>
      <c r="N80" s="3"/>
      <c r="O80" s="3"/>
      <c r="P80" s="3"/>
      <c r="Q80" s="3"/>
      <c r="R80" s="3"/>
      <c r="S80" s="3"/>
      <c r="T80" s="3"/>
      <c r="U80" s="3"/>
      <c r="V80" s="3"/>
      <c r="W80" s="3"/>
      <c r="X80" s="3"/>
      <c r="Y80" s="3"/>
      <c r="Z80" s="3"/>
      <c r="AA80" s="3"/>
    </row>
    <row r="81" spans="1:27" ht="15.6" x14ac:dyDescent="0.3">
      <c r="A81" s="3"/>
      <c r="B81" s="3"/>
      <c r="C81" s="3"/>
      <c r="D81" s="3"/>
      <c r="E81" s="3"/>
      <c r="F81" s="3"/>
      <c r="G81" s="3"/>
      <c r="H81" s="3"/>
      <c r="I81" s="3"/>
      <c r="J81" s="3"/>
      <c r="K81" s="3"/>
      <c r="L81" s="3"/>
      <c r="M81" s="3"/>
      <c r="N81" s="3"/>
      <c r="O81" s="3"/>
      <c r="P81" s="3"/>
      <c r="Q81" s="3"/>
      <c r="R81" s="3"/>
      <c r="S81" s="3"/>
      <c r="T81" s="3"/>
      <c r="U81" s="3"/>
      <c r="V81" s="3"/>
      <c r="W81" s="3"/>
      <c r="X81" s="3"/>
      <c r="Y81" s="3"/>
      <c r="Z81" s="3"/>
      <c r="AA81" s="3"/>
    </row>
    <row r="82" spans="1:27" ht="15.6" x14ac:dyDescent="0.3">
      <c r="A82" s="3"/>
      <c r="B82" s="3"/>
      <c r="C82" s="3"/>
      <c r="D82" s="3"/>
      <c r="E82" s="3"/>
      <c r="F82" s="3"/>
      <c r="G82" s="3"/>
      <c r="H82" s="3"/>
      <c r="I82" s="3"/>
      <c r="J82" s="3"/>
      <c r="K82" s="3"/>
      <c r="L82" s="3"/>
      <c r="M82" s="3"/>
      <c r="N82" s="3"/>
      <c r="O82" s="3"/>
      <c r="P82" s="3"/>
      <c r="Q82" s="3"/>
      <c r="R82" s="3"/>
      <c r="S82" s="3"/>
      <c r="T82" s="3"/>
      <c r="U82" s="3"/>
      <c r="V82" s="3"/>
      <c r="W82" s="3"/>
      <c r="X82" s="3"/>
      <c r="Y82" s="3"/>
      <c r="Z82" s="3"/>
      <c r="AA82" s="3"/>
    </row>
    <row r="83" spans="1:27" ht="15.6" x14ac:dyDescent="0.3">
      <c r="A83" s="3"/>
      <c r="B83" s="3"/>
      <c r="C83" s="3"/>
      <c r="D83" s="3"/>
      <c r="E83" s="3"/>
      <c r="F83" s="3"/>
      <c r="G83" s="3"/>
      <c r="H83" s="3"/>
      <c r="I83" s="3"/>
      <c r="J83" s="3"/>
      <c r="K83" s="3"/>
      <c r="L83" s="3"/>
      <c r="M83" s="3"/>
      <c r="N83" s="3"/>
      <c r="O83" s="3"/>
      <c r="P83" s="3"/>
      <c r="Q83" s="3"/>
      <c r="R83" s="3"/>
      <c r="S83" s="3"/>
      <c r="T83" s="3"/>
      <c r="U83" s="3"/>
      <c r="V83" s="3"/>
      <c r="W83" s="3"/>
      <c r="X83" s="3"/>
      <c r="Y83" s="3"/>
      <c r="Z83" s="3"/>
      <c r="AA83" s="3"/>
    </row>
    <row r="84" spans="1:27" ht="15.6" x14ac:dyDescent="0.3">
      <c r="A84" s="3"/>
      <c r="B84" s="3"/>
      <c r="C84" s="3"/>
      <c r="D84" s="3"/>
      <c r="E84" s="3"/>
      <c r="F84" s="3"/>
      <c r="G84" s="3"/>
      <c r="H84" s="3"/>
      <c r="I84" s="3"/>
      <c r="J84" s="3"/>
      <c r="K84" s="3"/>
      <c r="L84" s="3"/>
      <c r="M84" s="3"/>
      <c r="N84" s="3"/>
      <c r="O84" s="3"/>
      <c r="P84" s="3"/>
      <c r="Q84" s="3"/>
      <c r="R84" s="3"/>
      <c r="S84" s="3"/>
      <c r="T84" s="3"/>
      <c r="U84" s="3"/>
      <c r="V84" s="3"/>
      <c r="W84" s="3"/>
      <c r="X84" s="3"/>
      <c r="Y84" s="3"/>
      <c r="Z84" s="3"/>
      <c r="AA84" s="3"/>
    </row>
    <row r="85" spans="1:27" ht="15.6" x14ac:dyDescent="0.3">
      <c r="A85" s="3"/>
      <c r="B85" s="3"/>
      <c r="C85" s="3"/>
      <c r="D85" s="3"/>
      <c r="E85" s="3"/>
      <c r="F85" s="3"/>
      <c r="G85" s="3"/>
      <c r="H85" s="3"/>
      <c r="I85" s="3"/>
      <c r="J85" s="3"/>
      <c r="K85" s="3"/>
      <c r="L85" s="3"/>
      <c r="M85" s="3"/>
      <c r="N85" s="3"/>
      <c r="O85" s="3"/>
      <c r="P85" s="3"/>
      <c r="Q85" s="3"/>
      <c r="R85" s="3"/>
      <c r="S85" s="3"/>
      <c r="T85" s="3"/>
      <c r="U85" s="3"/>
      <c r="V85" s="3"/>
      <c r="W85" s="3"/>
      <c r="X85" s="3"/>
      <c r="Y85" s="3"/>
      <c r="Z85" s="3"/>
      <c r="AA85" s="3"/>
    </row>
    <row r="86" spans="1:27" ht="15.6" x14ac:dyDescent="0.3">
      <c r="A86" s="3"/>
      <c r="B86" s="3"/>
      <c r="C86" s="3"/>
      <c r="D86" s="3"/>
      <c r="E86" s="3"/>
      <c r="F86" s="3"/>
      <c r="G86" s="3"/>
      <c r="H86" s="3"/>
      <c r="I86" s="3"/>
      <c r="J86" s="3"/>
      <c r="K86" s="3"/>
      <c r="L86" s="3"/>
      <c r="M86" s="3"/>
      <c r="N86" s="3"/>
      <c r="O86" s="3"/>
      <c r="P86" s="3"/>
      <c r="Q86" s="3"/>
      <c r="R86" s="3"/>
      <c r="S86" s="3"/>
      <c r="T86" s="3"/>
      <c r="U86" s="3"/>
      <c r="V86" s="3"/>
      <c r="W86" s="3"/>
      <c r="X86" s="3"/>
      <c r="Y86" s="3"/>
      <c r="Z86" s="3"/>
      <c r="AA86" s="3"/>
    </row>
    <row r="87" spans="1:27" ht="15.6" x14ac:dyDescent="0.3">
      <c r="A87" s="3"/>
      <c r="B87" s="3"/>
      <c r="C87" s="3"/>
      <c r="D87" s="3"/>
      <c r="E87" s="3"/>
      <c r="F87" s="3"/>
      <c r="G87" s="3"/>
      <c r="H87" s="3"/>
      <c r="I87" s="3"/>
      <c r="J87" s="3"/>
      <c r="K87" s="3"/>
      <c r="L87" s="3"/>
      <c r="M87" s="3"/>
      <c r="N87" s="3"/>
      <c r="O87" s="3"/>
      <c r="P87" s="3"/>
      <c r="Q87" s="3"/>
      <c r="R87" s="3"/>
      <c r="S87" s="3"/>
      <c r="T87" s="3"/>
      <c r="U87" s="3"/>
      <c r="V87" s="3"/>
      <c r="W87" s="3"/>
      <c r="X87" s="3"/>
      <c r="Y87" s="3"/>
      <c r="Z87" s="3"/>
      <c r="AA87" s="3"/>
    </row>
    <row r="88" spans="1:27" ht="15.6" x14ac:dyDescent="0.3">
      <c r="A88" s="3"/>
      <c r="B88" s="3"/>
      <c r="C88" s="3"/>
      <c r="D88" s="3"/>
      <c r="E88" s="3"/>
      <c r="F88" s="3"/>
      <c r="G88" s="3"/>
      <c r="H88" s="3"/>
      <c r="I88" s="3"/>
      <c r="J88" s="3"/>
      <c r="K88" s="3"/>
      <c r="L88" s="3"/>
      <c r="M88" s="3"/>
      <c r="N88" s="3"/>
      <c r="O88" s="3"/>
      <c r="P88" s="3"/>
      <c r="Q88" s="3"/>
      <c r="R88" s="3"/>
      <c r="S88" s="3"/>
      <c r="T88" s="3"/>
      <c r="U88" s="3"/>
      <c r="V88" s="3"/>
      <c r="W88" s="3"/>
      <c r="X88" s="3"/>
      <c r="Y88" s="3"/>
      <c r="Z88" s="3"/>
      <c r="AA88" s="3"/>
    </row>
    <row r="89" spans="1:27" ht="15.6" x14ac:dyDescent="0.3">
      <c r="A89" s="3"/>
      <c r="B89" s="3"/>
      <c r="C89" s="3"/>
      <c r="D89" s="3"/>
      <c r="E89" s="3"/>
      <c r="F89" s="3"/>
      <c r="G89" s="3"/>
      <c r="H89" s="3"/>
      <c r="I89" s="3"/>
      <c r="J89" s="3"/>
      <c r="K89" s="3"/>
      <c r="L89" s="3"/>
      <c r="M89" s="3"/>
      <c r="N89" s="3"/>
      <c r="O89" s="3"/>
      <c r="P89" s="3"/>
      <c r="Q89" s="3"/>
      <c r="R89" s="3"/>
      <c r="S89" s="3"/>
      <c r="T89" s="3"/>
      <c r="U89" s="3"/>
      <c r="V89" s="3"/>
      <c r="W89" s="3"/>
      <c r="X89" s="3"/>
      <c r="Y89" s="3"/>
      <c r="Z89" s="3"/>
      <c r="AA89" s="3"/>
    </row>
    <row r="90" spans="1:27" ht="15.6" x14ac:dyDescent="0.3">
      <c r="A90" s="3"/>
      <c r="B90" s="3"/>
      <c r="C90" s="3"/>
      <c r="D90" s="3"/>
      <c r="E90" s="3"/>
      <c r="F90" s="3"/>
      <c r="G90" s="3"/>
      <c r="H90" s="3"/>
      <c r="I90" s="3"/>
      <c r="J90" s="3"/>
      <c r="K90" s="3"/>
      <c r="L90" s="3"/>
      <c r="M90" s="3"/>
      <c r="N90" s="3"/>
      <c r="O90" s="3"/>
      <c r="P90" s="3"/>
      <c r="Q90" s="3"/>
      <c r="R90" s="3"/>
      <c r="S90" s="3"/>
      <c r="T90" s="3"/>
      <c r="U90" s="3"/>
      <c r="V90" s="3"/>
      <c r="W90" s="3"/>
      <c r="X90" s="3"/>
      <c r="Y90" s="3"/>
      <c r="Z90" s="3"/>
      <c r="AA90" s="3"/>
    </row>
    <row r="91" spans="1:27" ht="15.6" x14ac:dyDescent="0.3">
      <c r="A91" s="3"/>
      <c r="B91" s="3"/>
      <c r="C91" s="3"/>
      <c r="D91" s="3"/>
      <c r="E91" s="3"/>
      <c r="F91" s="3"/>
      <c r="G91" s="3"/>
      <c r="H91" s="3"/>
      <c r="I91" s="3"/>
      <c r="J91" s="3"/>
      <c r="K91" s="3"/>
      <c r="L91" s="3"/>
      <c r="M91" s="3"/>
      <c r="N91" s="3"/>
      <c r="O91" s="3"/>
      <c r="P91" s="3"/>
      <c r="Q91" s="3"/>
      <c r="R91" s="3"/>
      <c r="S91" s="3"/>
      <c r="T91" s="3"/>
      <c r="U91" s="3"/>
      <c r="V91" s="3"/>
      <c r="W91" s="3"/>
      <c r="X91" s="3"/>
      <c r="Y91" s="3"/>
      <c r="Z91" s="3"/>
      <c r="AA91" s="3"/>
    </row>
    <row r="92" spans="1:27" ht="15.6" x14ac:dyDescent="0.3">
      <c r="A92" s="3"/>
      <c r="B92" s="3"/>
      <c r="C92" s="3"/>
      <c r="D92" s="3"/>
      <c r="E92" s="3"/>
      <c r="F92" s="3"/>
      <c r="G92" s="3"/>
      <c r="H92" s="3"/>
      <c r="I92" s="3"/>
      <c r="J92" s="3"/>
      <c r="K92" s="3"/>
      <c r="L92" s="3"/>
      <c r="M92" s="3"/>
      <c r="N92" s="3"/>
      <c r="O92" s="3"/>
      <c r="P92" s="3"/>
      <c r="Q92" s="3"/>
      <c r="R92" s="3"/>
      <c r="S92" s="3"/>
      <c r="T92" s="3"/>
      <c r="U92" s="3"/>
      <c r="V92" s="3"/>
      <c r="W92" s="3"/>
      <c r="X92" s="3"/>
      <c r="Y92" s="3"/>
      <c r="Z92" s="3"/>
      <c r="AA92" s="3"/>
    </row>
    <row r="93" spans="1:27" ht="15.6" x14ac:dyDescent="0.3">
      <c r="A93" s="3"/>
      <c r="B93" s="3"/>
      <c r="C93" s="3"/>
      <c r="D93" s="3"/>
      <c r="E93" s="3"/>
      <c r="F93" s="3"/>
      <c r="G93" s="3"/>
      <c r="H93" s="3"/>
      <c r="I93" s="3"/>
      <c r="J93" s="3"/>
      <c r="K93" s="3"/>
      <c r="L93" s="3"/>
      <c r="M93" s="3"/>
      <c r="N93" s="3"/>
      <c r="O93" s="3"/>
      <c r="P93" s="3"/>
      <c r="Q93" s="3"/>
      <c r="R93" s="3"/>
      <c r="S93" s="3"/>
      <c r="T93" s="3"/>
      <c r="U93" s="3"/>
      <c r="V93" s="3"/>
      <c r="W93" s="3"/>
      <c r="X93" s="3"/>
      <c r="Y93" s="3"/>
      <c r="Z93" s="3"/>
      <c r="AA93" s="3"/>
    </row>
    <row r="94" spans="1:27" ht="15.6" x14ac:dyDescent="0.3">
      <c r="A94" s="3"/>
      <c r="B94" s="3"/>
      <c r="C94" s="3"/>
      <c r="D94" s="3"/>
      <c r="E94" s="3"/>
      <c r="F94" s="3"/>
      <c r="G94" s="3"/>
      <c r="H94" s="3"/>
      <c r="I94" s="3"/>
      <c r="J94" s="3"/>
      <c r="K94" s="3"/>
      <c r="L94" s="3"/>
      <c r="M94" s="3"/>
      <c r="N94" s="3"/>
      <c r="O94" s="3"/>
      <c r="P94" s="3"/>
      <c r="Q94" s="3"/>
      <c r="R94" s="3"/>
      <c r="S94" s="3"/>
      <c r="T94" s="3"/>
      <c r="U94" s="3"/>
      <c r="V94" s="3"/>
      <c r="W94" s="3"/>
      <c r="X94" s="3"/>
      <c r="Y94" s="3"/>
      <c r="Z94" s="3"/>
      <c r="AA94" s="3"/>
    </row>
    <row r="95" spans="1:27" ht="15.6" x14ac:dyDescent="0.3">
      <c r="A95" s="3"/>
      <c r="B95" s="3"/>
      <c r="C95" s="3"/>
      <c r="D95" s="3"/>
      <c r="E95" s="3"/>
      <c r="F95" s="3"/>
      <c r="G95" s="3"/>
      <c r="H95" s="3"/>
      <c r="I95" s="3"/>
      <c r="J95" s="3"/>
      <c r="K95" s="3"/>
      <c r="L95" s="3"/>
      <c r="M95" s="3"/>
      <c r="N95" s="3"/>
      <c r="O95" s="3"/>
      <c r="P95" s="3"/>
      <c r="Q95" s="3"/>
      <c r="R95" s="3"/>
      <c r="S95" s="3"/>
      <c r="T95" s="3"/>
      <c r="U95" s="3"/>
      <c r="V95" s="3"/>
      <c r="W95" s="3"/>
      <c r="X95" s="3"/>
      <c r="Y95" s="3"/>
      <c r="Z95" s="3"/>
      <c r="AA95" s="3"/>
    </row>
    <row r="96" spans="1:27" ht="15.6" x14ac:dyDescent="0.3">
      <c r="A96" s="3"/>
      <c r="B96" s="3"/>
      <c r="C96" s="3"/>
      <c r="D96" s="3"/>
      <c r="E96" s="3"/>
      <c r="F96" s="3"/>
      <c r="G96" s="3"/>
      <c r="H96" s="3"/>
      <c r="I96" s="3"/>
      <c r="J96" s="3"/>
      <c r="K96" s="3"/>
      <c r="L96" s="3"/>
      <c r="M96" s="3"/>
      <c r="N96" s="3"/>
      <c r="O96" s="3"/>
      <c r="P96" s="3"/>
      <c r="Q96" s="3"/>
      <c r="R96" s="3"/>
      <c r="S96" s="3"/>
      <c r="T96" s="3"/>
      <c r="U96" s="3"/>
      <c r="V96" s="3"/>
      <c r="W96" s="3"/>
      <c r="X96" s="3"/>
      <c r="Y96" s="3"/>
      <c r="Z96" s="3"/>
      <c r="AA96" s="3"/>
    </row>
    <row r="97" spans="1:27" ht="15.6" x14ac:dyDescent="0.3">
      <c r="A97" s="3"/>
      <c r="B97" s="3"/>
      <c r="C97" s="3"/>
      <c r="D97" s="3"/>
      <c r="E97" s="3"/>
      <c r="F97" s="3"/>
      <c r="G97" s="3"/>
      <c r="H97" s="3"/>
      <c r="I97" s="3"/>
      <c r="J97" s="3"/>
      <c r="K97" s="3"/>
      <c r="L97" s="3"/>
      <c r="M97" s="3"/>
      <c r="N97" s="3"/>
      <c r="O97" s="3"/>
      <c r="P97" s="3"/>
      <c r="Q97" s="3"/>
      <c r="R97" s="3"/>
      <c r="S97" s="3"/>
      <c r="T97" s="3"/>
      <c r="U97" s="3"/>
      <c r="V97" s="3"/>
      <c r="W97" s="3"/>
      <c r="X97" s="3"/>
      <c r="Y97" s="3"/>
      <c r="Z97" s="3"/>
      <c r="AA97" s="3"/>
    </row>
    <row r="98" spans="1:27" ht="15.6" x14ac:dyDescent="0.3">
      <c r="A98" s="3"/>
      <c r="B98" s="3"/>
      <c r="C98" s="3"/>
      <c r="D98" s="3"/>
      <c r="E98" s="3"/>
      <c r="F98" s="3"/>
      <c r="G98" s="3"/>
      <c r="H98" s="3"/>
      <c r="I98" s="3"/>
      <c r="J98" s="3"/>
      <c r="K98" s="3"/>
      <c r="L98" s="3"/>
      <c r="M98" s="3"/>
      <c r="N98" s="3"/>
      <c r="O98" s="3"/>
      <c r="P98" s="3"/>
      <c r="Q98" s="3"/>
      <c r="R98" s="3"/>
      <c r="S98" s="3"/>
      <c r="T98" s="3"/>
      <c r="U98" s="3"/>
      <c r="V98" s="3"/>
      <c r="W98" s="3"/>
      <c r="X98" s="3"/>
      <c r="Y98" s="3"/>
      <c r="Z98" s="3"/>
      <c r="AA98" s="3"/>
    </row>
    <row r="99" spans="1:27" ht="15.6" x14ac:dyDescent="0.3">
      <c r="A99" s="3"/>
      <c r="B99" s="3"/>
      <c r="C99" s="3"/>
      <c r="D99" s="3"/>
      <c r="E99" s="3"/>
      <c r="F99" s="3"/>
      <c r="G99" s="3"/>
      <c r="H99" s="3"/>
      <c r="I99" s="3"/>
      <c r="J99" s="3"/>
      <c r="K99" s="3"/>
      <c r="L99" s="3"/>
      <c r="M99" s="3"/>
      <c r="N99" s="3"/>
      <c r="O99" s="3"/>
      <c r="P99" s="3"/>
      <c r="Q99" s="3"/>
      <c r="R99" s="3"/>
      <c r="S99" s="3"/>
      <c r="T99" s="3"/>
      <c r="U99" s="3"/>
      <c r="V99" s="3"/>
      <c r="W99" s="3"/>
      <c r="X99" s="3"/>
      <c r="Y99" s="3"/>
      <c r="Z99" s="3"/>
      <c r="AA99" s="3"/>
    </row>
    <row r="100" spans="1:27" ht="15.6" x14ac:dyDescent="0.3">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3"/>
      <c r="AA100" s="3"/>
    </row>
    <row r="101" spans="1:27" ht="15.6" x14ac:dyDescent="0.3">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3"/>
      <c r="AA101" s="3"/>
    </row>
    <row r="102" spans="1:27" ht="15.6" x14ac:dyDescent="0.3">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3"/>
      <c r="AA102" s="3"/>
    </row>
    <row r="103" spans="1:27" ht="15.6" x14ac:dyDescent="0.3">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3"/>
      <c r="AA103" s="3"/>
    </row>
    <row r="104" spans="1:27" ht="15.6" x14ac:dyDescent="0.3">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3"/>
      <c r="AA104" s="3"/>
    </row>
    <row r="105" spans="1:27" ht="15.6" x14ac:dyDescent="0.3">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3"/>
      <c r="AA105" s="3"/>
    </row>
    <row r="106" spans="1:27" ht="15.6" x14ac:dyDescent="0.3">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3"/>
      <c r="AA106" s="3"/>
    </row>
    <row r="107" spans="1:27" ht="15.6" x14ac:dyDescent="0.3">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3"/>
      <c r="AA107" s="3"/>
    </row>
    <row r="108" spans="1:27" ht="15.6" x14ac:dyDescent="0.3">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3"/>
      <c r="AA108" s="3"/>
    </row>
    <row r="109" spans="1:27" ht="15.6" x14ac:dyDescent="0.3">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3"/>
      <c r="AA109" s="3"/>
    </row>
    <row r="110" spans="1:27" ht="15.6" x14ac:dyDescent="0.3">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3"/>
      <c r="AA110" s="3"/>
    </row>
    <row r="111" spans="1:27" ht="15.6" x14ac:dyDescent="0.3">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3"/>
      <c r="AA111" s="3"/>
    </row>
    <row r="112" spans="1:27" ht="15.6" x14ac:dyDescent="0.3">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3"/>
      <c r="AA112" s="3"/>
    </row>
    <row r="113" spans="1:27" ht="15.6" x14ac:dyDescent="0.3">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3"/>
      <c r="AA113" s="3"/>
    </row>
    <row r="114" spans="1:27" ht="15.6" x14ac:dyDescent="0.3">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3"/>
      <c r="AA114" s="3"/>
    </row>
    <row r="115" spans="1:27" ht="15.6" x14ac:dyDescent="0.3">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3"/>
      <c r="AA115" s="3"/>
    </row>
    <row r="116" spans="1:27" ht="15.6" x14ac:dyDescent="0.3">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3"/>
      <c r="AA116" s="3"/>
    </row>
    <row r="117" spans="1:27" ht="15.6" x14ac:dyDescent="0.3">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3"/>
      <c r="AA117" s="3"/>
    </row>
    <row r="118" spans="1:27" ht="15.6" x14ac:dyDescent="0.3">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3"/>
      <c r="AA118" s="3"/>
    </row>
    <row r="119" spans="1:27" ht="15.6" x14ac:dyDescent="0.3">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3"/>
      <c r="AA119" s="3"/>
    </row>
    <row r="120" spans="1:27" ht="15.6" x14ac:dyDescent="0.3">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row>
    <row r="121" spans="1:27" ht="15.6" x14ac:dyDescent="0.3">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row>
    <row r="122" spans="1:27" ht="15.6" x14ac:dyDescent="0.3">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row>
    <row r="123" spans="1:27" ht="15.6" x14ac:dyDescent="0.3">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row>
    <row r="124" spans="1:27" ht="15.6" x14ac:dyDescent="0.3">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row>
    <row r="125" spans="1:27" ht="15.6" x14ac:dyDescent="0.3">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3"/>
      <c r="AA125" s="3"/>
    </row>
    <row r="126" spans="1:27" ht="15.6" x14ac:dyDescent="0.3">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row>
    <row r="127" spans="1:27" ht="15.6" x14ac:dyDescent="0.3">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row>
    <row r="128" spans="1:27" ht="15.6" x14ac:dyDescent="0.3">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row>
    <row r="129" spans="1:27" ht="15.6" x14ac:dyDescent="0.3">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row>
    <row r="130" spans="1:27" ht="15.6" x14ac:dyDescent="0.3">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row>
    <row r="131" spans="1:27" ht="15.6" x14ac:dyDescent="0.3">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row>
    <row r="132" spans="1:27" ht="15.6" x14ac:dyDescent="0.3">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row>
    <row r="133" spans="1:27" ht="15.6" x14ac:dyDescent="0.3">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row>
    <row r="134" spans="1:27" ht="15.6" x14ac:dyDescent="0.3">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row>
    <row r="135" spans="1:27" ht="15.6" x14ac:dyDescent="0.3">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row>
    <row r="136" spans="1:27" ht="15.6" x14ac:dyDescent="0.3">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row>
    <row r="137" spans="1:27" ht="15.6" x14ac:dyDescent="0.3">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row>
    <row r="138" spans="1:27" ht="15.6" x14ac:dyDescent="0.3">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row>
    <row r="139" spans="1:27" ht="15.6" x14ac:dyDescent="0.3">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row>
    <row r="140" spans="1:27" ht="15.6" x14ac:dyDescent="0.3">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row>
    <row r="141" spans="1:27" ht="15.6" x14ac:dyDescent="0.3">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row>
    <row r="142" spans="1:27" ht="15.6" x14ac:dyDescent="0.3">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row>
    <row r="143" spans="1:27" ht="15.6" x14ac:dyDescent="0.3">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row>
    <row r="144" spans="1:27" ht="15.6" x14ac:dyDescent="0.3">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row>
    <row r="145" spans="1:27" ht="15.6" x14ac:dyDescent="0.3">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row>
    <row r="146" spans="1:27" ht="15.6" x14ac:dyDescent="0.3">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row>
    <row r="147" spans="1:27" ht="15.6" x14ac:dyDescent="0.3">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row>
    <row r="148" spans="1:27" ht="15.6" x14ac:dyDescent="0.3">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row>
    <row r="149" spans="1:27" ht="15.6" x14ac:dyDescent="0.3">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row>
    <row r="150" spans="1:27" ht="15.6" x14ac:dyDescent="0.3">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row>
    <row r="151" spans="1:27" ht="15.6" x14ac:dyDescent="0.3">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row>
    <row r="152" spans="1:27" ht="15.6" x14ac:dyDescent="0.3">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row>
    <row r="153" spans="1:27" ht="15.6" x14ac:dyDescent="0.3">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row>
    <row r="154" spans="1:27" ht="15.6" x14ac:dyDescent="0.3">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row>
    <row r="155" spans="1:27" ht="15.6" x14ac:dyDescent="0.3">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row>
    <row r="156" spans="1:27" ht="15.6" x14ac:dyDescent="0.3">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row>
    <row r="157" spans="1:27" ht="15.6" x14ac:dyDescent="0.3">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row>
    <row r="158" spans="1:27" ht="15.6" x14ac:dyDescent="0.3">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row>
    <row r="159" spans="1:27" ht="15.6" x14ac:dyDescent="0.3">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row>
    <row r="160" spans="1:27" ht="15.6" x14ac:dyDescent="0.3">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row>
    <row r="161" spans="1:27" ht="15.6" x14ac:dyDescent="0.3">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row>
    <row r="162" spans="1:27" ht="15.6" x14ac:dyDescent="0.3">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row>
    <row r="163" spans="1:27" ht="15.6" x14ac:dyDescent="0.3">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row>
    <row r="164" spans="1:27" ht="15.6" x14ac:dyDescent="0.3">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row>
    <row r="165" spans="1:27" ht="15.6" x14ac:dyDescent="0.3">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row>
    <row r="166" spans="1:27" ht="15.6" x14ac:dyDescent="0.3">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row>
    <row r="167" spans="1:27" ht="15.6" x14ac:dyDescent="0.3">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row>
    <row r="168" spans="1:27" ht="15.6" x14ac:dyDescent="0.3">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row>
    <row r="169" spans="1:27" ht="15.6" x14ac:dyDescent="0.3">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row>
    <row r="170" spans="1:27" ht="15.6" x14ac:dyDescent="0.3">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row>
    <row r="171" spans="1:27" ht="15.6" x14ac:dyDescent="0.3">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row>
    <row r="172" spans="1:27" ht="15.6" x14ac:dyDescent="0.3">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row>
    <row r="173" spans="1:27" ht="15.6" x14ac:dyDescent="0.3">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row>
    <row r="174" spans="1:27" ht="15.6" x14ac:dyDescent="0.3">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row>
    <row r="175" spans="1:27" ht="15.6" x14ac:dyDescent="0.3">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row>
    <row r="176" spans="1:27" ht="15.6" x14ac:dyDescent="0.3">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row>
    <row r="177" spans="1:27" ht="15.6" x14ac:dyDescent="0.3">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row>
    <row r="178" spans="1:27" ht="15.6" x14ac:dyDescent="0.3">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row>
    <row r="179" spans="1:27" ht="15.6" x14ac:dyDescent="0.3">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row>
    <row r="180" spans="1:27" ht="15.6" x14ac:dyDescent="0.3">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row>
    <row r="181" spans="1:27" ht="15.6" x14ac:dyDescent="0.3">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row>
    <row r="182" spans="1:27" ht="15.6" x14ac:dyDescent="0.3">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row>
    <row r="183" spans="1:27" ht="15.6" x14ac:dyDescent="0.3">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row>
    <row r="184" spans="1:27" ht="15.6" x14ac:dyDescent="0.3">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row>
    <row r="185" spans="1:27" ht="15.6" x14ac:dyDescent="0.3">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row>
    <row r="186" spans="1:27" ht="15.6" x14ac:dyDescent="0.3">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row>
    <row r="187" spans="1:27" ht="15.6" x14ac:dyDescent="0.3">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row>
    <row r="188" spans="1:27" ht="15.6" x14ac:dyDescent="0.3">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row>
    <row r="189" spans="1:27" ht="15.6" x14ac:dyDescent="0.3">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row>
    <row r="190" spans="1:27" ht="15.6" x14ac:dyDescent="0.3">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row>
    <row r="191" spans="1:27" ht="15.6" x14ac:dyDescent="0.3">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row>
    <row r="192" spans="1:27" ht="15.6" x14ac:dyDescent="0.3">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row>
    <row r="193" spans="1:27" ht="15.6" x14ac:dyDescent="0.3">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row>
    <row r="194" spans="1:27" ht="15.6" x14ac:dyDescent="0.3">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row>
    <row r="195" spans="1:27" ht="15.6" x14ac:dyDescent="0.3">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row>
    <row r="196" spans="1:27" ht="15.6" x14ac:dyDescent="0.3">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row>
    <row r="197" spans="1:27" ht="15.6" x14ac:dyDescent="0.3">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row>
    <row r="198" spans="1:27" ht="15.6" x14ac:dyDescent="0.3">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row>
    <row r="199" spans="1:27" ht="15.6" x14ac:dyDescent="0.3">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row>
    <row r="200" spans="1:27" ht="15.6" x14ac:dyDescent="0.3">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row>
    <row r="201" spans="1:27" ht="15.6" x14ac:dyDescent="0.3">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row>
    <row r="202" spans="1:27" ht="15.6" x14ac:dyDescent="0.3">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row>
    <row r="203" spans="1:27" ht="15.6" x14ac:dyDescent="0.3">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row>
    <row r="204" spans="1:27" ht="15.6" x14ac:dyDescent="0.3">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row>
    <row r="205" spans="1:27" ht="15.6" x14ac:dyDescent="0.3">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row>
    <row r="206" spans="1:27" ht="15.6" x14ac:dyDescent="0.3">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row>
    <row r="207" spans="1:27" ht="15.6" x14ac:dyDescent="0.3">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row>
    <row r="208" spans="1:27" ht="15.6" x14ac:dyDescent="0.3">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row>
    <row r="209" spans="1:27" ht="15.6" x14ac:dyDescent="0.3">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row>
    <row r="210" spans="1:27" ht="15.6" x14ac:dyDescent="0.3">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row>
    <row r="211" spans="1:27" ht="15.6" x14ac:dyDescent="0.3">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row>
    <row r="212" spans="1:27" ht="15.6" x14ac:dyDescent="0.3">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row>
    <row r="213" spans="1:27" ht="15.6" x14ac:dyDescent="0.3">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row>
    <row r="214" spans="1:27" ht="15.6" x14ac:dyDescent="0.3">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row>
    <row r="215" spans="1:27" ht="15.6" x14ac:dyDescent="0.3">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row>
    <row r="216" spans="1:27" ht="15.6" x14ac:dyDescent="0.3">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row>
    <row r="217" spans="1:27" ht="15.6" x14ac:dyDescent="0.3">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row>
    <row r="218" spans="1:27" ht="15.6" x14ac:dyDescent="0.3">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row>
    <row r="219" spans="1:27" ht="15.6" x14ac:dyDescent="0.3">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row>
    <row r="220" spans="1:27" ht="15.6" x14ac:dyDescent="0.3">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row>
    <row r="221" spans="1:27" ht="15.6" x14ac:dyDescent="0.3">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row>
    <row r="222" spans="1:27" ht="15.6" x14ac:dyDescent="0.3">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row>
    <row r="223" spans="1:27" ht="15.6" x14ac:dyDescent="0.3">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row>
    <row r="224" spans="1:27" ht="15.6" x14ac:dyDescent="0.3">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row>
    <row r="225" spans="1:27" ht="15.6" x14ac:dyDescent="0.3">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row>
    <row r="226" spans="1:27" ht="15.6" x14ac:dyDescent="0.3">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row>
    <row r="227" spans="1:27" ht="15.6" x14ac:dyDescent="0.3">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row>
    <row r="228" spans="1:27" ht="15.6" x14ac:dyDescent="0.3">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row>
    <row r="229" spans="1:27" ht="15.6" x14ac:dyDescent="0.3">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row>
    <row r="230" spans="1:27" ht="15.6" x14ac:dyDescent="0.3">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row>
    <row r="231" spans="1:27" ht="15.6" x14ac:dyDescent="0.3">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row>
    <row r="232" spans="1:27" ht="15.6" x14ac:dyDescent="0.3">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row>
    <row r="233" spans="1:27" ht="15.6" x14ac:dyDescent="0.3">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row>
    <row r="234" spans="1:27" ht="15.6" x14ac:dyDescent="0.3">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row>
    <row r="235" spans="1:27" ht="15.6" x14ac:dyDescent="0.3">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row>
    <row r="236" spans="1:27" ht="15.6" x14ac:dyDescent="0.3">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row>
    <row r="237" spans="1:27" ht="15.6" x14ac:dyDescent="0.3">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row>
    <row r="238" spans="1:27" ht="15.6" x14ac:dyDescent="0.3">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row>
    <row r="239" spans="1:27" ht="15.6" x14ac:dyDescent="0.3">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row>
    <row r="240" spans="1:27" ht="15.6" x14ac:dyDescent="0.3">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row>
    <row r="241" spans="1:27" ht="15.6" x14ac:dyDescent="0.3">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row>
    <row r="242" spans="1:27" ht="15.6" x14ac:dyDescent="0.3">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row>
    <row r="243" spans="1:27" ht="15.6" x14ac:dyDescent="0.3">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row>
    <row r="244" spans="1:27" ht="15.6" x14ac:dyDescent="0.3">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row>
    <row r="245" spans="1:27" ht="15.6" x14ac:dyDescent="0.3">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row>
    <row r="246" spans="1:27" ht="15.6" x14ac:dyDescent="0.3">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row>
    <row r="247" spans="1:27" ht="15.6" x14ac:dyDescent="0.3">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row>
    <row r="248" spans="1:27" ht="15.6" x14ac:dyDescent="0.3">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row>
    <row r="249" spans="1:27" ht="15.6" x14ac:dyDescent="0.3">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row>
    <row r="250" spans="1:27" ht="15.6" x14ac:dyDescent="0.3">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row>
    <row r="251" spans="1:27" ht="15.6" x14ac:dyDescent="0.3">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row>
    <row r="252" spans="1:27" ht="15.6" x14ac:dyDescent="0.3">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row>
    <row r="253" spans="1:27" ht="15.6" x14ac:dyDescent="0.3">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row>
    <row r="254" spans="1:27" ht="15.6" x14ac:dyDescent="0.3">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row>
    <row r="255" spans="1:27" ht="15.6" x14ac:dyDescent="0.3">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row>
    <row r="256" spans="1:27" ht="15.6" x14ac:dyDescent="0.3">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row>
    <row r="257" spans="1:27" ht="15.6" x14ac:dyDescent="0.3">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row>
    <row r="258" spans="1:27" ht="15.6" x14ac:dyDescent="0.3">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row>
    <row r="259" spans="1:27" ht="15.6" x14ac:dyDescent="0.3">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row>
    <row r="260" spans="1:27" ht="15.6" x14ac:dyDescent="0.3">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row>
    <row r="261" spans="1:27" ht="15.6" x14ac:dyDescent="0.3">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row>
    <row r="262" spans="1:27" ht="15.6" x14ac:dyDescent="0.3">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row>
    <row r="263" spans="1:27" ht="15.6" x14ac:dyDescent="0.3">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row>
    <row r="264" spans="1:27" ht="15.6" x14ac:dyDescent="0.3">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row>
    <row r="265" spans="1:27" ht="15.6" x14ac:dyDescent="0.3">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row>
    <row r="266" spans="1:27" ht="15.6" x14ac:dyDescent="0.3">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row>
    <row r="267" spans="1:27" ht="15.6" x14ac:dyDescent="0.3">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row>
    <row r="268" spans="1:27" ht="15.6" x14ac:dyDescent="0.3">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row>
    <row r="269" spans="1:27" ht="15.6" x14ac:dyDescent="0.3">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row>
    <row r="270" spans="1:27" ht="15.6" x14ac:dyDescent="0.3">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row>
    <row r="271" spans="1:27" ht="15.6" x14ac:dyDescent="0.3">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row>
    <row r="272" spans="1:27" ht="15.6" x14ac:dyDescent="0.3">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row>
    <row r="273" spans="1:27" ht="15.6" x14ac:dyDescent="0.3">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row>
    <row r="274" spans="1:27" ht="15.6" x14ac:dyDescent="0.3">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row>
    <row r="275" spans="1:27" ht="15.6" x14ac:dyDescent="0.3">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row>
    <row r="276" spans="1:27" ht="15.6" x14ac:dyDescent="0.3">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row>
    <row r="277" spans="1:27" ht="15.6" x14ac:dyDescent="0.3">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row>
    <row r="278" spans="1:27" ht="15.6" x14ac:dyDescent="0.3">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row>
    <row r="279" spans="1:27" ht="15.6" x14ac:dyDescent="0.3">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row>
    <row r="280" spans="1:27" ht="15.6" x14ac:dyDescent="0.3">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row>
    <row r="281" spans="1:27" ht="15.6" x14ac:dyDescent="0.3">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row>
    <row r="282" spans="1:27" ht="15.6" x14ac:dyDescent="0.3">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row>
    <row r="283" spans="1:27" ht="15.6" x14ac:dyDescent="0.3">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row>
    <row r="284" spans="1:27" ht="15.6" x14ac:dyDescent="0.3">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row>
    <row r="285" spans="1:27" ht="15.6" x14ac:dyDescent="0.3">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row>
    <row r="286" spans="1:27" ht="15.6" x14ac:dyDescent="0.3">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row>
    <row r="287" spans="1:27" ht="15.6" x14ac:dyDescent="0.3">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row>
    <row r="288" spans="1:27" ht="15.6" x14ac:dyDescent="0.3">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row>
    <row r="289" spans="1:27" ht="15.6" x14ac:dyDescent="0.3">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row>
    <row r="290" spans="1:27" ht="15.6" x14ac:dyDescent="0.3">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row>
    <row r="291" spans="1:27" ht="15.6" x14ac:dyDescent="0.3">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row>
    <row r="292" spans="1:27" ht="15.6" x14ac:dyDescent="0.3">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row>
    <row r="293" spans="1:27" ht="15.6" x14ac:dyDescent="0.3">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row>
    <row r="294" spans="1:27" ht="15.6" x14ac:dyDescent="0.3">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row>
    <row r="295" spans="1:27" ht="15.6" x14ac:dyDescent="0.3">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row>
    <row r="296" spans="1:27" ht="15.6" x14ac:dyDescent="0.3">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row>
    <row r="297" spans="1:27" ht="15.6" x14ac:dyDescent="0.3">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row>
    <row r="298" spans="1:27" ht="15.6" x14ac:dyDescent="0.3">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row>
    <row r="299" spans="1:27" ht="15.6" x14ac:dyDescent="0.3">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row>
    <row r="300" spans="1:27" ht="15.6" x14ac:dyDescent="0.3">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row>
    <row r="301" spans="1:27" ht="15.6" x14ac:dyDescent="0.3">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row>
    <row r="302" spans="1:27" ht="15.6" x14ac:dyDescent="0.3">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row>
    <row r="303" spans="1:27" ht="15.6" x14ac:dyDescent="0.3">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row>
    <row r="304" spans="1:27" ht="15.6" x14ac:dyDescent="0.3">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row>
    <row r="305" spans="1:27" ht="15.6" x14ac:dyDescent="0.3">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row>
    <row r="306" spans="1:27" ht="15.6" x14ac:dyDescent="0.3">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row>
    <row r="307" spans="1:27" ht="15.6" x14ac:dyDescent="0.3">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row>
    <row r="308" spans="1:27" ht="15.6" x14ac:dyDescent="0.3">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row>
    <row r="309" spans="1:27" ht="15.6" x14ac:dyDescent="0.3">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row>
    <row r="310" spans="1:27" ht="15.6" x14ac:dyDescent="0.3">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row>
    <row r="311" spans="1:27" ht="15.6" x14ac:dyDescent="0.3">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row>
    <row r="312" spans="1:27" ht="15.6" x14ac:dyDescent="0.3">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row>
    <row r="313" spans="1:27" ht="15.6" x14ac:dyDescent="0.3">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row>
    <row r="314" spans="1:27" ht="15.6" x14ac:dyDescent="0.3">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row>
    <row r="315" spans="1:27" ht="15.6" x14ac:dyDescent="0.3">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row>
    <row r="316" spans="1:27" ht="15.6" x14ac:dyDescent="0.3">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row>
    <row r="317" spans="1:27" ht="15.6" x14ac:dyDescent="0.3">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row>
    <row r="318" spans="1:27" ht="15.6" x14ac:dyDescent="0.3">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row>
    <row r="319" spans="1:27" ht="15.6" x14ac:dyDescent="0.3">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row>
    <row r="320" spans="1:27" ht="15.6" x14ac:dyDescent="0.3">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row>
    <row r="321" spans="1:27" ht="15.6" x14ac:dyDescent="0.3">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row>
    <row r="322" spans="1:27" ht="15.6" x14ac:dyDescent="0.3">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row>
    <row r="323" spans="1:27" ht="15.6" x14ac:dyDescent="0.3">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row>
    <row r="324" spans="1:27" ht="15.6" x14ac:dyDescent="0.3">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row>
    <row r="325" spans="1:27" ht="15.6" x14ac:dyDescent="0.3">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row>
    <row r="326" spans="1:27" ht="15.6" x14ac:dyDescent="0.3">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row>
    <row r="327" spans="1:27" ht="15.6" x14ac:dyDescent="0.3">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row>
    <row r="328" spans="1:27" ht="15.6" x14ac:dyDescent="0.3">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row>
    <row r="329" spans="1:27" ht="15.6" x14ac:dyDescent="0.3">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row>
    <row r="330" spans="1:27" ht="15.6" x14ac:dyDescent="0.3">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row>
    <row r="331" spans="1:27" ht="15.6" x14ac:dyDescent="0.3">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row>
    <row r="332" spans="1:27" ht="15.6" x14ac:dyDescent="0.3">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row>
    <row r="333" spans="1:27" ht="15.6" x14ac:dyDescent="0.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spans="1:27" ht="15.6" x14ac:dyDescent="0.3">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spans="1:27" ht="15.6" x14ac:dyDescent="0.3">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spans="1:27" ht="15.6" x14ac:dyDescent="0.3">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spans="1:27" ht="15.6" x14ac:dyDescent="0.3">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spans="1:27" ht="15.6" x14ac:dyDescent="0.3">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spans="1:27" ht="15.6" x14ac:dyDescent="0.3">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spans="1:27" ht="15.6" x14ac:dyDescent="0.3">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spans="1:27" ht="15.6" x14ac:dyDescent="0.3">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spans="1:27" ht="15.6" x14ac:dyDescent="0.3">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spans="1:27" ht="15.6" x14ac:dyDescent="0.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spans="1:27" ht="15.6" x14ac:dyDescent="0.3">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spans="1:27" ht="15.6" x14ac:dyDescent="0.3">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spans="1:27" ht="15.6" x14ac:dyDescent="0.3">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spans="1:27" ht="15.6" x14ac:dyDescent="0.3">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spans="1:27" ht="15.6" x14ac:dyDescent="0.3">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spans="1:27" ht="15.6" x14ac:dyDescent="0.3">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spans="1:27" ht="15.6" x14ac:dyDescent="0.3">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spans="1:27" ht="15.6" x14ac:dyDescent="0.3">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spans="1:27" ht="15.6" x14ac:dyDescent="0.3">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spans="1:27" ht="15.6" x14ac:dyDescent="0.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spans="1:27" ht="15.6" x14ac:dyDescent="0.3">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spans="1:27" ht="15.6" x14ac:dyDescent="0.3">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spans="1:27" ht="15.6" x14ac:dyDescent="0.3">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spans="1:27" ht="15.6" x14ac:dyDescent="0.3">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spans="1:27" ht="15.6" x14ac:dyDescent="0.3">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spans="1:27" ht="15.6" x14ac:dyDescent="0.3">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spans="1:27" ht="15.6" x14ac:dyDescent="0.3">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spans="1:27" ht="15.6" x14ac:dyDescent="0.3">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spans="1:27" ht="15.6" x14ac:dyDescent="0.3">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spans="1:27" ht="15.6" x14ac:dyDescent="0.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spans="1:27" ht="15.6" x14ac:dyDescent="0.3">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spans="1:27" ht="15.6" x14ac:dyDescent="0.3">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spans="1:27" ht="15.6" x14ac:dyDescent="0.3">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spans="1:27" ht="15.6" x14ac:dyDescent="0.3">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spans="1:27" ht="15.6" x14ac:dyDescent="0.3">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spans="1:27" ht="15.6" x14ac:dyDescent="0.3">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spans="1:27" ht="15.6" x14ac:dyDescent="0.3">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spans="1:27" ht="15.6" x14ac:dyDescent="0.3">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spans="1:27" ht="15.6" x14ac:dyDescent="0.3">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spans="1:27" ht="15.6" x14ac:dyDescent="0.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spans="1:27" ht="15.6" x14ac:dyDescent="0.3">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spans="1:27" ht="15.6" x14ac:dyDescent="0.3">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spans="1:27" ht="15.6" x14ac:dyDescent="0.3">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spans="1:27" ht="15.6" x14ac:dyDescent="0.3">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spans="1:27" ht="15.6" x14ac:dyDescent="0.3">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spans="1:27" ht="15.6" x14ac:dyDescent="0.3">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spans="1:27" ht="15.6" x14ac:dyDescent="0.3">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spans="1:27" ht="15.6" x14ac:dyDescent="0.3">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spans="1:27" ht="15.6" x14ac:dyDescent="0.3">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spans="1:27" ht="15.6" x14ac:dyDescent="0.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spans="1:27" ht="15.6" x14ac:dyDescent="0.3">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spans="1:27" ht="15.6" x14ac:dyDescent="0.3">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spans="1:27" ht="15.6" x14ac:dyDescent="0.3">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spans="1:27" ht="15.6" x14ac:dyDescent="0.3">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spans="1:27" ht="15.6" x14ac:dyDescent="0.3">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spans="1:27" ht="15.6" x14ac:dyDescent="0.3">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spans="1:27" ht="15.6" x14ac:dyDescent="0.3">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spans="1:27" ht="15.6" x14ac:dyDescent="0.3">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spans="1:27" ht="15.6" x14ac:dyDescent="0.3">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spans="1:27" ht="15.6" x14ac:dyDescent="0.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spans="1:27" ht="15.6" x14ac:dyDescent="0.3">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spans="1:27" ht="15.6" x14ac:dyDescent="0.3">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spans="1:27" ht="15.6" x14ac:dyDescent="0.3">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spans="1:27" ht="15.6" x14ac:dyDescent="0.3">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spans="1:27" ht="15.6" x14ac:dyDescent="0.3">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spans="1:27" ht="15.6" x14ac:dyDescent="0.3">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spans="1:27" ht="15.6" x14ac:dyDescent="0.3">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spans="1:27" ht="15.6" x14ac:dyDescent="0.3">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spans="1:27" ht="15.6" x14ac:dyDescent="0.3">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spans="1:27" ht="15.6" x14ac:dyDescent="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spans="1:27" ht="15.6" x14ac:dyDescent="0.3">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spans="1:27" ht="15.6" x14ac:dyDescent="0.3">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spans="1:27" ht="15.6" x14ac:dyDescent="0.3">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spans="1:27" ht="15.6" x14ac:dyDescent="0.3">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spans="1:27" ht="15.6" x14ac:dyDescent="0.3">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spans="1:27" ht="15.6" x14ac:dyDescent="0.3">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spans="1:27" ht="15.6" x14ac:dyDescent="0.3">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spans="1:27" ht="15.6" x14ac:dyDescent="0.3">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spans="1:27" ht="15.6" x14ac:dyDescent="0.3">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spans="1:27" ht="15.6" x14ac:dyDescent="0.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spans="1:27" ht="15.6" x14ac:dyDescent="0.3">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spans="1:27" ht="15.6" x14ac:dyDescent="0.3">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spans="1:27" ht="15.6" x14ac:dyDescent="0.3">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spans="1:27" ht="15.6" x14ac:dyDescent="0.3">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spans="1:27" ht="15.6" x14ac:dyDescent="0.3">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spans="1:27" ht="15.6" x14ac:dyDescent="0.3">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spans="1:27" ht="15.6" x14ac:dyDescent="0.3">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spans="1:27" ht="15.6" x14ac:dyDescent="0.3">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spans="1:27" ht="15.6" x14ac:dyDescent="0.3">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spans="1:27" ht="15.6" x14ac:dyDescent="0.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spans="1:27" ht="15.6" x14ac:dyDescent="0.3">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spans="1:27" ht="15.6" x14ac:dyDescent="0.3">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spans="1:27" ht="15.6" x14ac:dyDescent="0.3">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spans="1:27" ht="15.6" x14ac:dyDescent="0.3">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spans="1:27" ht="15.6" x14ac:dyDescent="0.3">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spans="1:27" ht="15.6" x14ac:dyDescent="0.3">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spans="1:27" ht="15.6" x14ac:dyDescent="0.3">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spans="1:27" ht="15.6" x14ac:dyDescent="0.3">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spans="1:27" ht="15.6" x14ac:dyDescent="0.3">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spans="1:27" ht="15.6" x14ac:dyDescent="0.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spans="1:27" ht="15.6" x14ac:dyDescent="0.3">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spans="1:27" ht="15.6" x14ac:dyDescent="0.3">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spans="1:27" ht="15.6" x14ac:dyDescent="0.3">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spans="1:27" ht="15.6" x14ac:dyDescent="0.3">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spans="1:27" ht="15.6" x14ac:dyDescent="0.3">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spans="1:27" ht="15.6" x14ac:dyDescent="0.3">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spans="1:27" ht="15.6" x14ac:dyDescent="0.3">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spans="1:27" ht="15.6" x14ac:dyDescent="0.3">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spans="1:27" ht="15.6" x14ac:dyDescent="0.3">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spans="1:27" ht="15.6" x14ac:dyDescent="0.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spans="1:27" ht="15.6" x14ac:dyDescent="0.3">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spans="1:27" ht="15.6" x14ac:dyDescent="0.3">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spans="1:27" ht="15.6" x14ac:dyDescent="0.3">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spans="1:27" ht="15.6" x14ac:dyDescent="0.3">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spans="1:27" ht="15.6" x14ac:dyDescent="0.3">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spans="1:27" ht="15.6" x14ac:dyDescent="0.3">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spans="1:27" ht="15.6" x14ac:dyDescent="0.3">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spans="1:27" ht="15.6" x14ac:dyDescent="0.3">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spans="1:27" ht="15.6" x14ac:dyDescent="0.3">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spans="1:27" ht="15.6" x14ac:dyDescent="0.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spans="1:27" ht="15.6" x14ac:dyDescent="0.3">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spans="1:27" ht="15.6" x14ac:dyDescent="0.3">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spans="1:27" ht="15.6" x14ac:dyDescent="0.3">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spans="1:27" ht="15.6" x14ac:dyDescent="0.3">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spans="1:27" ht="15.6" x14ac:dyDescent="0.3">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spans="1:27" ht="15.6" x14ac:dyDescent="0.3">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spans="1:27" ht="15.6" x14ac:dyDescent="0.3">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spans="1:27" ht="15.6" x14ac:dyDescent="0.3">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spans="1:27" ht="15.6" x14ac:dyDescent="0.3">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spans="1:27" ht="15.6" x14ac:dyDescent="0.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spans="1:27" ht="15.6" x14ac:dyDescent="0.3">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spans="1:27" ht="15.6" x14ac:dyDescent="0.3">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spans="1:27" ht="15.6" x14ac:dyDescent="0.3">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spans="1:27" ht="15.6" x14ac:dyDescent="0.3">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spans="1:27" ht="15.6" x14ac:dyDescent="0.3">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spans="1:27" ht="15.6" x14ac:dyDescent="0.3">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spans="1:27" ht="15.6" x14ac:dyDescent="0.3">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spans="1:27" ht="15.6" x14ac:dyDescent="0.3">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spans="1:27" ht="15.6" x14ac:dyDescent="0.3">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spans="1:27" ht="15.6" x14ac:dyDescent="0.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spans="1:27" ht="15.6" x14ac:dyDescent="0.3">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spans="1:27" ht="15.6" x14ac:dyDescent="0.3">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spans="1:27" ht="15.6" x14ac:dyDescent="0.3">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spans="1:27" ht="15.6" x14ac:dyDescent="0.3">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spans="1:27" ht="15.6" x14ac:dyDescent="0.3">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spans="1:27" ht="15.6" x14ac:dyDescent="0.3">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spans="1:27" ht="15.6" x14ac:dyDescent="0.3">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spans="1:27" ht="15.6" x14ac:dyDescent="0.3">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spans="1:27" ht="15.6" x14ac:dyDescent="0.3">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spans="1:27" ht="15.6" x14ac:dyDescent="0.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spans="1:27" ht="15.6" x14ac:dyDescent="0.3">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spans="1:27" ht="15.6" x14ac:dyDescent="0.3">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spans="1:27" ht="15.6" x14ac:dyDescent="0.3">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spans="1:27" ht="15.6" x14ac:dyDescent="0.3">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spans="1:27" ht="15.6" x14ac:dyDescent="0.3">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spans="1:27" ht="15.6" x14ac:dyDescent="0.3">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spans="1:27" ht="15.6" x14ac:dyDescent="0.3">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spans="1:27" ht="15.6" x14ac:dyDescent="0.3">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spans="1:27" ht="15.6" x14ac:dyDescent="0.3">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spans="1:27" ht="15.6" x14ac:dyDescent="0.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spans="1:27" ht="15.6" x14ac:dyDescent="0.3">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spans="1:27" ht="15.6" x14ac:dyDescent="0.3">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spans="1:27" ht="15.6" x14ac:dyDescent="0.3">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spans="1:27" ht="15.6" x14ac:dyDescent="0.3">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spans="1:27" ht="15.6" x14ac:dyDescent="0.3">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spans="1:27" ht="15.6" x14ac:dyDescent="0.3">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spans="1:27" ht="15.6" x14ac:dyDescent="0.3">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spans="1:27" ht="15.6" x14ac:dyDescent="0.3">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spans="1:27" ht="15.6" x14ac:dyDescent="0.3">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spans="1:27" ht="15.6" x14ac:dyDescent="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spans="1:27" ht="15.6" x14ac:dyDescent="0.3">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spans="1:27" ht="15.6" x14ac:dyDescent="0.3">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spans="1:27" ht="15.6" x14ac:dyDescent="0.3">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spans="1:27" ht="15.6" x14ac:dyDescent="0.3">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spans="1:27" ht="15.6" x14ac:dyDescent="0.3">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spans="1:27" ht="15.6" x14ac:dyDescent="0.3">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spans="1:27" ht="15.6" x14ac:dyDescent="0.3">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spans="1:27" ht="15.6" x14ac:dyDescent="0.3">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spans="1:27" ht="15.6" x14ac:dyDescent="0.3">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spans="1:27" ht="15.6" x14ac:dyDescent="0.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spans="1:27" ht="15.6" x14ac:dyDescent="0.3">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spans="1:27" ht="15.6" x14ac:dyDescent="0.3">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spans="1:27" ht="15.6" x14ac:dyDescent="0.3">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spans="1:27" ht="15.6" x14ac:dyDescent="0.3">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spans="1:27" ht="15.6" x14ac:dyDescent="0.3">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spans="1:27" ht="15.6" x14ac:dyDescent="0.3">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spans="1:27" ht="15.6" x14ac:dyDescent="0.3">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spans="1:27" ht="15.6" x14ac:dyDescent="0.3">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spans="1:27" ht="15.6" x14ac:dyDescent="0.3">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spans="1:27" ht="15.6" x14ac:dyDescent="0.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spans="1:27" ht="15.6" x14ac:dyDescent="0.3">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spans="1:27" ht="15.6" x14ac:dyDescent="0.3">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spans="1:27" ht="15.6" x14ac:dyDescent="0.3">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spans="1:27" ht="15.6" x14ac:dyDescent="0.3">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spans="1:27" ht="15.6" x14ac:dyDescent="0.3">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spans="1:27" ht="15.6" x14ac:dyDescent="0.3">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spans="1:27" ht="15.6" x14ac:dyDescent="0.3">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spans="1:27" ht="15.6" x14ac:dyDescent="0.3">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spans="1:27" ht="15.6" x14ac:dyDescent="0.3">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spans="1:27" ht="15.6" x14ac:dyDescent="0.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spans="1:27" ht="15.6" x14ac:dyDescent="0.3">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spans="1:27" ht="15.6" x14ac:dyDescent="0.3">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spans="1:27" ht="15.6" x14ac:dyDescent="0.3">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spans="1:27" ht="15.6" x14ac:dyDescent="0.3">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spans="1:27" ht="15.6" x14ac:dyDescent="0.3">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spans="1:27" ht="15.6" x14ac:dyDescent="0.3">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spans="1:27" ht="15.6" x14ac:dyDescent="0.3">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spans="1:27" ht="15.6" x14ac:dyDescent="0.3">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spans="1:27" ht="15.6" x14ac:dyDescent="0.3">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spans="1:27" ht="15.6" x14ac:dyDescent="0.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spans="1:27" ht="15.6" x14ac:dyDescent="0.3">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spans="1:27" ht="15.6" x14ac:dyDescent="0.3">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spans="1:27" ht="15.6" x14ac:dyDescent="0.3">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spans="1:27" ht="15.6" x14ac:dyDescent="0.3">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spans="1:27" ht="15.6" x14ac:dyDescent="0.3">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spans="1:27" ht="15.6" x14ac:dyDescent="0.3">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spans="1:27" ht="15.6" x14ac:dyDescent="0.3">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spans="1:27" ht="15.6" x14ac:dyDescent="0.3">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spans="1:27" ht="15.6" x14ac:dyDescent="0.3">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spans="1:27" ht="15.6" x14ac:dyDescent="0.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spans="1:27" ht="15.6" x14ac:dyDescent="0.3">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spans="1:27" ht="15.6" x14ac:dyDescent="0.3">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spans="1:27" ht="15.6" x14ac:dyDescent="0.3">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spans="1:27" ht="15.6" x14ac:dyDescent="0.3">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spans="1:27" ht="15.6" x14ac:dyDescent="0.3">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spans="1:27" ht="15.6" x14ac:dyDescent="0.3">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spans="1:27" ht="15.6" x14ac:dyDescent="0.3">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spans="1:27" ht="15.6" x14ac:dyDescent="0.3">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spans="1:27" ht="15.6" x14ac:dyDescent="0.3">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spans="1:27" ht="15.6" x14ac:dyDescent="0.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spans="1:27" ht="15.6" x14ac:dyDescent="0.3">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spans="1:27" ht="15.6" x14ac:dyDescent="0.3">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spans="1:27" ht="15.6" x14ac:dyDescent="0.3">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spans="1:27" ht="15.6" x14ac:dyDescent="0.3">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spans="1:27" ht="15.6" x14ac:dyDescent="0.3">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spans="1:27" ht="15.6" x14ac:dyDescent="0.3">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spans="1:27" ht="15.6" x14ac:dyDescent="0.3">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spans="1:27" ht="15.6" x14ac:dyDescent="0.3">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spans="1:27" ht="15.6" x14ac:dyDescent="0.3">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spans="1:27" ht="15.6" x14ac:dyDescent="0.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spans="1:27" ht="15.6" x14ac:dyDescent="0.3">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spans="1:27" ht="15.6" x14ac:dyDescent="0.3">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spans="1:27" ht="15.6" x14ac:dyDescent="0.3">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spans="1:27" ht="15.6" x14ac:dyDescent="0.3">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spans="1:27" ht="15.6" x14ac:dyDescent="0.3">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spans="1:27" ht="15.6" x14ac:dyDescent="0.3">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spans="1:27" ht="15.6" x14ac:dyDescent="0.3">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spans="1:27" ht="15.6" x14ac:dyDescent="0.3">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spans="1:27" ht="15.6" x14ac:dyDescent="0.3">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spans="1:27" ht="15.6" x14ac:dyDescent="0.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spans="1:27" ht="15.6" x14ac:dyDescent="0.3">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spans="1:27" ht="15.6" x14ac:dyDescent="0.3">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spans="1:27" ht="15.6" x14ac:dyDescent="0.3">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spans="1:27" ht="15.6" x14ac:dyDescent="0.3">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spans="1:27" ht="15.6" x14ac:dyDescent="0.3">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spans="1:27" ht="15.6" x14ac:dyDescent="0.3">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spans="1:27" ht="15.6" x14ac:dyDescent="0.3">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spans="1:27" ht="15.6" x14ac:dyDescent="0.3">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spans="1:27" ht="15.6" x14ac:dyDescent="0.3">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spans="1:27" ht="15.6" x14ac:dyDescent="0.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spans="1:27" ht="15.6" x14ac:dyDescent="0.3">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spans="1:27" ht="15.6" x14ac:dyDescent="0.3">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spans="1:27" ht="15.6" x14ac:dyDescent="0.3">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spans="1:27" ht="15.6" x14ac:dyDescent="0.3">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spans="1:27" ht="15.6" x14ac:dyDescent="0.3">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spans="1:27" ht="15.6" x14ac:dyDescent="0.3">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spans="1:27" ht="15.6" x14ac:dyDescent="0.3">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spans="1:27" ht="15.6" x14ac:dyDescent="0.3">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spans="1:27" ht="15.6" x14ac:dyDescent="0.3">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spans="1:27" ht="15.6" x14ac:dyDescent="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spans="1:27" ht="15.6" x14ac:dyDescent="0.3">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spans="1:27" ht="15.6" x14ac:dyDescent="0.3">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spans="1:27" ht="15.6" x14ac:dyDescent="0.3">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spans="1:27" ht="15.6" x14ac:dyDescent="0.3">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spans="1:27" ht="15.6" x14ac:dyDescent="0.3">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spans="1:27" ht="15.6" x14ac:dyDescent="0.3">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spans="1:27" ht="15.6" x14ac:dyDescent="0.3">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spans="1:27" ht="15.6" x14ac:dyDescent="0.3">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spans="1:27" ht="15.6" x14ac:dyDescent="0.3">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spans="1:27" ht="15.6" x14ac:dyDescent="0.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spans="1:27" ht="15.6" x14ac:dyDescent="0.3">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spans="1:27" ht="15.6" x14ac:dyDescent="0.3">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spans="1:27" ht="15.6" x14ac:dyDescent="0.3">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spans="1:27" ht="15.6" x14ac:dyDescent="0.3">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spans="1:27" ht="15.6" x14ac:dyDescent="0.3">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spans="1:27" ht="15.6" x14ac:dyDescent="0.3">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spans="1:27" ht="15.6" x14ac:dyDescent="0.3">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spans="1:27" ht="15.6" x14ac:dyDescent="0.3">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spans="1:27" ht="15.6" x14ac:dyDescent="0.3">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spans="1:27" ht="15.6" x14ac:dyDescent="0.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spans="1:27" ht="15.6" x14ac:dyDescent="0.3">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spans="1:27" ht="15.6" x14ac:dyDescent="0.3">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spans="1:27" ht="15.6" x14ac:dyDescent="0.3">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spans="1:27" ht="15.6" x14ac:dyDescent="0.3">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spans="1:27" ht="15.6" x14ac:dyDescent="0.3">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spans="1:27" ht="15.6" x14ac:dyDescent="0.3">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spans="1:27" ht="15.6" x14ac:dyDescent="0.3">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spans="1:27" ht="15.6" x14ac:dyDescent="0.3">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spans="1:27" ht="15.6" x14ac:dyDescent="0.3">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spans="1:27" ht="15.6" x14ac:dyDescent="0.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spans="1:27" ht="15.6" x14ac:dyDescent="0.3">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spans="1:27" ht="15.6" x14ac:dyDescent="0.3">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spans="1:27" ht="15.6" x14ac:dyDescent="0.3">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spans="1:27" ht="15.6" x14ac:dyDescent="0.3">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spans="1:27" ht="15.6" x14ac:dyDescent="0.3">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spans="1:27" ht="15.6" x14ac:dyDescent="0.3">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spans="1:27" ht="15.6" x14ac:dyDescent="0.3">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spans="1:27" ht="15.6" x14ac:dyDescent="0.3">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spans="1:27" ht="15.6" x14ac:dyDescent="0.3">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spans="1:27" ht="15.6" x14ac:dyDescent="0.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spans="1:27" ht="15.6" x14ac:dyDescent="0.3">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spans="1:27" ht="15.6" x14ac:dyDescent="0.3">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spans="1:27" ht="15.6" x14ac:dyDescent="0.3">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spans="1:27" ht="15.6" x14ac:dyDescent="0.3">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spans="1:27" ht="15.6" x14ac:dyDescent="0.3">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spans="1:27" ht="15.6" x14ac:dyDescent="0.3">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spans="1:27" ht="15.6" x14ac:dyDescent="0.3">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spans="1:27" ht="15.6" x14ac:dyDescent="0.3">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spans="1:27" ht="15.6" x14ac:dyDescent="0.3">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spans="1:27" ht="15.6" x14ac:dyDescent="0.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spans="1:27" ht="15.6" x14ac:dyDescent="0.3">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spans="1:27" ht="15.6" x14ac:dyDescent="0.3">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spans="1:27" ht="15.6" x14ac:dyDescent="0.3">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spans="1:27" ht="15.6" x14ac:dyDescent="0.3">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spans="1:27" ht="15.6" x14ac:dyDescent="0.3">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spans="1:27" ht="15.6" x14ac:dyDescent="0.3">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spans="1:27" ht="15.6" x14ac:dyDescent="0.3">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spans="1:27" ht="15.6" x14ac:dyDescent="0.3">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spans="1:27" ht="15.6" x14ac:dyDescent="0.3">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spans="1:27" ht="15.6" x14ac:dyDescent="0.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spans="1:27" ht="15.6" x14ac:dyDescent="0.3">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spans="1:27" ht="15.6" x14ac:dyDescent="0.3">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spans="1:27" ht="15.6" x14ac:dyDescent="0.3">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spans="1:27" ht="15.6" x14ac:dyDescent="0.3">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spans="1:27" ht="15.6" x14ac:dyDescent="0.3">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spans="1:27" ht="15.6" x14ac:dyDescent="0.3">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spans="1:27" ht="15.6" x14ac:dyDescent="0.3">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spans="1:27" ht="15.6" x14ac:dyDescent="0.3">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spans="1:27" ht="15.6" x14ac:dyDescent="0.3">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spans="1:27" ht="15.6" x14ac:dyDescent="0.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spans="1:27" ht="15.6" x14ac:dyDescent="0.3">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spans="1:27" ht="15.6" x14ac:dyDescent="0.3">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spans="1:27" ht="15.6" x14ac:dyDescent="0.3">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spans="1:27" ht="15.6" x14ac:dyDescent="0.3">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spans="1:27" ht="15.6" x14ac:dyDescent="0.3">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spans="1:27" ht="15.6" x14ac:dyDescent="0.3">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spans="1:27" ht="15.6" x14ac:dyDescent="0.3">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spans="1:27" ht="15.6" x14ac:dyDescent="0.3">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spans="1:27" ht="15.6" x14ac:dyDescent="0.3">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spans="1:27" ht="15.6" x14ac:dyDescent="0.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spans="1:27" ht="15.6" x14ac:dyDescent="0.3">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spans="1:27" ht="15.6" x14ac:dyDescent="0.3">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spans="1:27" ht="15.6" x14ac:dyDescent="0.3">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spans="1:27" ht="15.6" x14ac:dyDescent="0.3">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spans="1:27" ht="15.6" x14ac:dyDescent="0.3">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spans="1:27" ht="15.6" x14ac:dyDescent="0.3">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spans="1:27" ht="15.6" x14ac:dyDescent="0.3">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spans="1:27" ht="15.6" x14ac:dyDescent="0.3">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spans="1:27" ht="15.6" x14ac:dyDescent="0.3">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spans="1:27" ht="15.6" x14ac:dyDescent="0.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spans="1:27" ht="15.6" x14ac:dyDescent="0.3">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spans="1:27" ht="15.6" x14ac:dyDescent="0.3">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spans="1:27" ht="15.6" x14ac:dyDescent="0.3">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spans="1:27" ht="15.6" x14ac:dyDescent="0.3">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spans="1:27" ht="15.6" x14ac:dyDescent="0.3">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spans="1:27" ht="15.6" x14ac:dyDescent="0.3">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spans="1:27" ht="15.6" x14ac:dyDescent="0.3">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spans="1:27" ht="15.6" x14ac:dyDescent="0.3">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spans="1:27" ht="15.6" x14ac:dyDescent="0.3">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spans="1:27" ht="15.6" x14ac:dyDescent="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spans="1:27" ht="15.6" x14ac:dyDescent="0.3">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spans="1:27" ht="15.6" x14ac:dyDescent="0.3">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spans="1:27" ht="15.6" x14ac:dyDescent="0.3">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spans="1:27" ht="15.6" x14ac:dyDescent="0.3">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spans="1:27" ht="15.6" x14ac:dyDescent="0.3">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spans="1:27" ht="15.6" x14ac:dyDescent="0.3">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spans="1:27" ht="15.6" x14ac:dyDescent="0.3">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spans="1:27" ht="15.6" x14ac:dyDescent="0.3">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spans="1:27" ht="15.6" x14ac:dyDescent="0.3">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spans="1:27" ht="15.6" x14ac:dyDescent="0.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spans="1:27" ht="15.6" x14ac:dyDescent="0.3">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spans="1:27" ht="15.6" x14ac:dyDescent="0.3">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spans="1:27" ht="15.6" x14ac:dyDescent="0.3">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spans="1:27" ht="15.6" x14ac:dyDescent="0.3">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spans="1:27" ht="15.6" x14ac:dyDescent="0.3">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spans="1:27" ht="15.6" x14ac:dyDescent="0.3">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spans="1:27" ht="15.6" x14ac:dyDescent="0.3">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spans="1:27" ht="15.6" x14ac:dyDescent="0.3">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spans="1:27" ht="15.6" x14ac:dyDescent="0.3">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spans="1:27" ht="15.6" x14ac:dyDescent="0.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spans="1:27" ht="15.6" x14ac:dyDescent="0.3">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spans="1:27" ht="15.6" x14ac:dyDescent="0.3">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spans="1:27" ht="15.6" x14ac:dyDescent="0.3">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spans="1:27" ht="15.6" x14ac:dyDescent="0.3">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spans="1:27" ht="15.6" x14ac:dyDescent="0.3">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spans="1:27" ht="15.6" x14ac:dyDescent="0.3">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spans="1:27" ht="15.6" x14ac:dyDescent="0.3">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spans="1:27" ht="15.6" x14ac:dyDescent="0.3">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spans="1:27" ht="15.6" x14ac:dyDescent="0.3">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spans="1:27" ht="15.6" x14ac:dyDescent="0.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spans="1:27" ht="15.6" x14ac:dyDescent="0.3">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spans="1:27" ht="15.6" x14ac:dyDescent="0.3">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spans="1:27" ht="15.6" x14ac:dyDescent="0.3">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spans="1:27" ht="15.6" x14ac:dyDescent="0.3">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spans="1:27" ht="15.6" x14ac:dyDescent="0.3">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spans="1:27" ht="15.6" x14ac:dyDescent="0.3">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spans="1:27" ht="15.6" x14ac:dyDescent="0.3">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spans="1:27" ht="15.6" x14ac:dyDescent="0.3">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spans="1:27" ht="15.6" x14ac:dyDescent="0.3">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spans="1:27" ht="15.6" x14ac:dyDescent="0.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spans="1:27" ht="15.6" x14ac:dyDescent="0.3">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spans="1:27" ht="15.6" x14ac:dyDescent="0.3">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spans="1:27" ht="15.6" x14ac:dyDescent="0.3">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spans="1:27" ht="15.6" x14ac:dyDescent="0.3">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spans="1:27" ht="15.6" x14ac:dyDescent="0.3">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spans="1:27" ht="15.6" x14ac:dyDescent="0.3">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spans="1:27" ht="15.6" x14ac:dyDescent="0.3">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spans="1:27" ht="15.6" x14ac:dyDescent="0.3">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spans="1:27" ht="15.6" x14ac:dyDescent="0.3">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spans="1:27" ht="15.6" x14ac:dyDescent="0.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spans="1:27" ht="15.6" x14ac:dyDescent="0.3">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spans="1:27" ht="15.6" x14ac:dyDescent="0.3">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spans="1:27" ht="15.6" x14ac:dyDescent="0.3">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spans="1:27" ht="15.6" x14ac:dyDescent="0.3">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spans="1:27" ht="15.6" x14ac:dyDescent="0.3">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spans="1:27" ht="15.6" x14ac:dyDescent="0.3">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spans="1:27" ht="15.6" x14ac:dyDescent="0.3">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spans="1:27" ht="15.6" x14ac:dyDescent="0.3">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spans="1:27" ht="15.6" x14ac:dyDescent="0.3">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spans="1:27" ht="15.6" x14ac:dyDescent="0.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spans="1:27" ht="15.6" x14ac:dyDescent="0.3">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spans="1:27" ht="15.6" x14ac:dyDescent="0.3">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spans="1:27" ht="15.6" x14ac:dyDescent="0.3">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spans="1:27" ht="15.6" x14ac:dyDescent="0.3">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spans="1:27" ht="15.6" x14ac:dyDescent="0.3">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spans="1:27" ht="15.6" x14ac:dyDescent="0.3">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spans="1:27" ht="15.6" x14ac:dyDescent="0.3">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spans="1:27" ht="15.6" x14ac:dyDescent="0.3">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spans="1:27" ht="15.6" x14ac:dyDescent="0.3">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spans="1:27" ht="15.6" x14ac:dyDescent="0.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spans="1:27" ht="15.6" x14ac:dyDescent="0.3">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spans="1:27" ht="15.6" x14ac:dyDescent="0.3">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spans="1:27" ht="15.6" x14ac:dyDescent="0.3">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spans="1:27" ht="15.6" x14ac:dyDescent="0.3">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spans="1:27" ht="15.6" x14ac:dyDescent="0.3">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spans="1:27" ht="15.6" x14ac:dyDescent="0.3">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spans="1:27" ht="15.6" x14ac:dyDescent="0.3">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spans="1:27" ht="15.6" x14ac:dyDescent="0.3">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spans="1:27" ht="15.6" x14ac:dyDescent="0.3">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spans="1:27" ht="15.6" x14ac:dyDescent="0.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spans="1:27" ht="15.6" x14ac:dyDescent="0.3">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spans="1:27" ht="15.6" x14ac:dyDescent="0.3">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spans="1:27" ht="15.6" x14ac:dyDescent="0.3">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spans="1:27" ht="15.6" x14ac:dyDescent="0.3">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spans="1:27" ht="15.6" x14ac:dyDescent="0.3">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spans="1:27" ht="15.6" x14ac:dyDescent="0.3">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spans="1:27" ht="15.6" x14ac:dyDescent="0.3">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spans="1:27" ht="15.6" x14ac:dyDescent="0.3">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spans="1:27" ht="15.6" x14ac:dyDescent="0.3">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spans="1:27" ht="15.6" x14ac:dyDescent="0.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spans="1:27" ht="15.6" x14ac:dyDescent="0.3">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spans="1:27" ht="15.6" x14ac:dyDescent="0.3">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spans="1:27" ht="15.6" x14ac:dyDescent="0.3">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spans="1:27" ht="15.6" x14ac:dyDescent="0.3">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spans="1:27" ht="15.6" x14ac:dyDescent="0.3">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spans="1:27" ht="15.6" x14ac:dyDescent="0.3">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spans="1:27" ht="15.6" x14ac:dyDescent="0.3">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spans="1:27" ht="15.6" x14ac:dyDescent="0.3">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spans="1:27" ht="15.6" x14ac:dyDescent="0.3">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spans="1:27" ht="15.6" x14ac:dyDescent="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spans="1:27" ht="15.6" x14ac:dyDescent="0.3">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spans="1:27" ht="15.6" x14ac:dyDescent="0.3">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spans="1:27" ht="15.6" x14ac:dyDescent="0.3">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spans="1:27" ht="15.6" x14ac:dyDescent="0.3">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spans="1:27" ht="15.6" x14ac:dyDescent="0.3">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spans="1:27" ht="15.6" x14ac:dyDescent="0.3">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spans="1:27" ht="15.6" x14ac:dyDescent="0.3">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spans="1:27" ht="15.6" x14ac:dyDescent="0.3">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spans="1:27" ht="15.6" x14ac:dyDescent="0.3">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spans="1:27" ht="15.6" x14ac:dyDescent="0.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spans="1:27" ht="15.6" x14ac:dyDescent="0.3">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spans="1:27" ht="15.6" x14ac:dyDescent="0.3">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spans="1:27" ht="15.6" x14ac:dyDescent="0.3">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spans="1:27" ht="15.6" x14ac:dyDescent="0.3">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spans="1:27" ht="15.6" x14ac:dyDescent="0.3">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spans="1:27" ht="15.6" x14ac:dyDescent="0.3">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spans="1:27" ht="15.6" x14ac:dyDescent="0.3">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spans="1:27" ht="15.6" x14ac:dyDescent="0.3">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spans="1:27" ht="15.6" x14ac:dyDescent="0.3">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spans="1:27" ht="15.6" x14ac:dyDescent="0.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spans="1:27" ht="15.6" x14ac:dyDescent="0.3">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spans="1:27" ht="15.6" x14ac:dyDescent="0.3">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spans="1:27" ht="15.6" x14ac:dyDescent="0.3">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spans="1:27" ht="15.6" x14ac:dyDescent="0.3">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spans="1:27" ht="15.6" x14ac:dyDescent="0.3">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spans="1:27" ht="15.6" x14ac:dyDescent="0.3">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spans="1:27" ht="15.6" x14ac:dyDescent="0.3">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spans="1:27" ht="15.6" x14ac:dyDescent="0.3">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spans="1:27" ht="15.6" x14ac:dyDescent="0.3">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spans="1:27" ht="15.6" x14ac:dyDescent="0.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spans="1:27" ht="15.6" x14ac:dyDescent="0.3">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spans="1:27" ht="15.6" x14ac:dyDescent="0.3">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spans="1:27" ht="15.6" x14ac:dyDescent="0.3">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spans="1:27" ht="15.6" x14ac:dyDescent="0.3">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spans="1:27" ht="15.6" x14ac:dyDescent="0.3">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spans="1:27" ht="15.6" x14ac:dyDescent="0.3">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spans="1:27" ht="15.6" x14ac:dyDescent="0.3">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spans="1:27" ht="15.6" x14ac:dyDescent="0.3">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spans="1:27" ht="15.6" x14ac:dyDescent="0.3">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spans="1:27" ht="15.6" x14ac:dyDescent="0.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spans="1:27" ht="15.6" x14ac:dyDescent="0.3">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spans="1:27" ht="15.6" x14ac:dyDescent="0.3">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spans="1:27" ht="15.6" x14ac:dyDescent="0.3">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spans="1:27" ht="15.6" x14ac:dyDescent="0.3">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spans="1:27" ht="15.6" x14ac:dyDescent="0.3">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spans="1:27" ht="15.6" x14ac:dyDescent="0.3">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spans="1:27" ht="15.6" x14ac:dyDescent="0.3">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spans="1:27" ht="15.6" x14ac:dyDescent="0.3">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spans="1:27" ht="15.6" x14ac:dyDescent="0.3">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spans="1:27" ht="15.6" x14ac:dyDescent="0.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spans="1:27" ht="15.6" x14ac:dyDescent="0.3">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spans="1:27" ht="15.6" x14ac:dyDescent="0.3">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spans="1:27" ht="15.6" x14ac:dyDescent="0.3">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spans="1:27" ht="15.6" x14ac:dyDescent="0.3">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spans="1:27" ht="15.6" x14ac:dyDescent="0.3">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spans="1:27" ht="15.6" x14ac:dyDescent="0.3">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spans="1:27" ht="15.6" x14ac:dyDescent="0.3">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spans="1:27" ht="15.6" x14ac:dyDescent="0.3">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spans="1:27" ht="15.6" x14ac:dyDescent="0.3">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spans="1:27" ht="15.6" x14ac:dyDescent="0.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spans="1:27" ht="15.6" x14ac:dyDescent="0.3">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spans="1:27" ht="15.6" x14ac:dyDescent="0.3">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spans="1:27" ht="15.6" x14ac:dyDescent="0.3">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spans="1:27" ht="15.6" x14ac:dyDescent="0.3">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spans="1:27" ht="15.6" x14ac:dyDescent="0.3">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spans="1:27" ht="15.6" x14ac:dyDescent="0.3">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spans="1:27" ht="15.6" x14ac:dyDescent="0.3">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spans="1:27" ht="15.6" x14ac:dyDescent="0.3">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spans="1:27" ht="15.6" x14ac:dyDescent="0.3">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spans="1:27" ht="15.6" x14ac:dyDescent="0.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spans="1:27" ht="15.6" x14ac:dyDescent="0.3">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spans="1:27" ht="15.6" x14ac:dyDescent="0.3">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spans="1:27" ht="15.6" x14ac:dyDescent="0.3">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spans="1:27" ht="15.6" x14ac:dyDescent="0.3">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spans="1:27" ht="15.6" x14ac:dyDescent="0.3">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spans="1:27" ht="15.6" x14ac:dyDescent="0.3">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spans="1:27" ht="15.6" x14ac:dyDescent="0.3">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spans="1:27" ht="15.6" x14ac:dyDescent="0.3">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spans="1:27" ht="15.6" x14ac:dyDescent="0.3">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spans="1:27" ht="15.6" x14ac:dyDescent="0.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spans="1:27" ht="15.6" x14ac:dyDescent="0.3">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spans="1:27" ht="15.6" x14ac:dyDescent="0.3">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spans="1:27" ht="15.6" x14ac:dyDescent="0.3">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spans="1:27" ht="15.6" x14ac:dyDescent="0.3">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spans="1:27" ht="15.6" x14ac:dyDescent="0.3">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spans="1:27" ht="15.6" x14ac:dyDescent="0.3">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spans="1:27" ht="15.6" x14ac:dyDescent="0.3">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spans="1:27" ht="15.6" x14ac:dyDescent="0.3">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spans="1:27" ht="15.6" x14ac:dyDescent="0.3">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spans="1:27" ht="15.6" x14ac:dyDescent="0.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spans="1:27" ht="15.6" x14ac:dyDescent="0.3">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spans="1:27" ht="15.6" x14ac:dyDescent="0.3">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spans="1:27" ht="15.6" x14ac:dyDescent="0.3">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spans="1:27" ht="15.6" x14ac:dyDescent="0.3">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spans="1:27" ht="15.6" x14ac:dyDescent="0.3">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spans="1:27" ht="15.6" x14ac:dyDescent="0.3">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spans="1:27" ht="15.6" x14ac:dyDescent="0.3">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spans="1:27" ht="15.6" x14ac:dyDescent="0.3">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spans="1:27" ht="15.6" x14ac:dyDescent="0.3">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spans="1:27" ht="15.6" x14ac:dyDescent="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spans="1:27" ht="15.6" x14ac:dyDescent="0.3">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spans="1:27" ht="15.6" x14ac:dyDescent="0.3">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spans="1:27" ht="15.6" x14ac:dyDescent="0.3">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spans="1:27" ht="15.6" x14ac:dyDescent="0.3">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spans="1:27" ht="15.6" x14ac:dyDescent="0.3">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spans="1:27" ht="15.6" x14ac:dyDescent="0.3">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spans="1:27" ht="15.6" x14ac:dyDescent="0.3">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spans="1:27" ht="15.6" x14ac:dyDescent="0.3">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spans="1:27" ht="15.6" x14ac:dyDescent="0.3">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spans="1:27" ht="15.6" x14ac:dyDescent="0.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spans="1:27" ht="15.6" x14ac:dyDescent="0.3">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spans="1:27" ht="15.6" x14ac:dyDescent="0.3">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spans="1:27" ht="15.6" x14ac:dyDescent="0.3">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spans="1:27" ht="15.6" x14ac:dyDescent="0.3">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spans="1:27" ht="15.6" x14ac:dyDescent="0.3">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spans="1:27" ht="15.6" x14ac:dyDescent="0.3">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spans="1:27" ht="15.6" x14ac:dyDescent="0.3">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spans="1:27" ht="15.6" x14ac:dyDescent="0.3">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spans="1:27" ht="15.6" x14ac:dyDescent="0.3">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spans="1:27" ht="15.6" x14ac:dyDescent="0.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spans="1:27" ht="15.6" x14ac:dyDescent="0.3">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spans="1:27" ht="15.6" x14ac:dyDescent="0.3">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spans="1:27" ht="15.6" x14ac:dyDescent="0.3">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spans="1:27" ht="15.6" x14ac:dyDescent="0.3">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spans="1:27" ht="15.6" x14ac:dyDescent="0.3">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spans="1:27" ht="15.6" x14ac:dyDescent="0.3">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spans="1:27" ht="15.6" x14ac:dyDescent="0.3">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spans="1:27" ht="15.6" x14ac:dyDescent="0.3">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spans="1:27" ht="15.6" x14ac:dyDescent="0.3">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spans="1:27" ht="15.6" x14ac:dyDescent="0.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spans="1:27" ht="15.6" x14ac:dyDescent="0.3">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spans="1:27" ht="15.6" x14ac:dyDescent="0.3">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spans="1:27" ht="15.6" x14ac:dyDescent="0.3">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spans="1:27" ht="15.6" x14ac:dyDescent="0.3">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spans="1:27" ht="15.6" x14ac:dyDescent="0.3">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spans="1:27" ht="15.6" x14ac:dyDescent="0.3">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spans="1:27" ht="15.6" x14ac:dyDescent="0.3">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spans="1:27" ht="15.6" x14ac:dyDescent="0.3">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spans="1:27" ht="15.6" x14ac:dyDescent="0.3">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spans="1:27" ht="15.6" x14ac:dyDescent="0.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spans="1:27" ht="15.6" x14ac:dyDescent="0.3">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spans="1:27" ht="15.6" x14ac:dyDescent="0.3">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spans="1:27" ht="15.6" x14ac:dyDescent="0.3">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sheetData>
  <mergeCells count="1">
    <mergeCell ref="B2:J2"/>
  </mergeCells>
  <hyperlinks>
    <hyperlink ref="F5" r:id="rId1" display="https://timesofindia.indiatimes.com/business/budget/infrastructure-development-capex-hiked-by-33-to-rs-10-lakh-crore-for-2023-24-fm/articleshow/97517443.cms  https://www.business-standard.com/budget/article/budget-pushes-for-developing-transport-urban-infrastructure-housing-123020100581_1.html   " xr:uid="{254DA77D-E4C5-4E73-9365-B5F5222DE4B2}"/>
    <hyperlink ref="F6" r:id="rId2" display="https://www.financialexpress.com/economy/india-bangladesh-to-start-fta-talks-early/2923881/ ,_x000a_https://www.livemint.com/news/india/india-bangladesh-to-soon-start-talks-for-free-trade-pact-details-here-11671764046997.html ,_x000a_https://www.business-standard.com/article/international/australia-approves-fta-with-india-to-implement-on-mutually-agreed-date-122112200615_1.html ,_x000a_https://www.financialexpress.com/economy/expect-to-sign-at-least-2-more-ftas-in-2023-says-piyush-goyal/2930671/ , https://kprmilllimited.com/file/wp-content/uploads/2022/07/Annual-Report-2022.pdf" xr:uid="{A2D744C0-4677-4B3A-8729-04ABC760978F}"/>
    <hyperlink ref="F7" r:id="rId3" display="Textile industry supporting Indian employment (indiatimes.com) , India Age structure - Demographics (indexmundi.com), https://okcredit.in/blog/all-about-the-economy-of-india/, https://static.pib.gov.in/WriteReadData/specificdocs/documents/2022/feb/doc202222418201.pdf" xr:uid="{71DC107F-B870-40DD-BCFB-70E595B06582}"/>
    <hyperlink ref="F8" r:id="rId4" xr:uid="{28B91E12-E763-49E1-A98C-ADA4472591C7}"/>
    <hyperlink ref="F10" r:id="rId5" xr:uid="{626296A2-F066-47EF-90E4-DD6D0A60A819}"/>
    <hyperlink ref="F11" r:id="rId6" display="https://www.business-standard.com/article/companies/raw-material-price-hike-pinch-india-s-textiles-apparel-exports-in-2022-23-122061900443_1.html https://www.just-style.com/news/industry-news/textile-raw-material-prices-continue-to-increase/ https://www.cnbctv18.com/market/commodities/india-may-raise-sugarcane-frp-price-that-mills-have-to-pay-farmers-14351732.htm" xr:uid="{C9B3C554-FC55-47A0-9DA6-FA4C8FFA0808}"/>
    <hyperlink ref="F12" r:id="rId7" xr:uid="{F9A7375F-5AA8-4336-864C-6FAAFC5C72DB}"/>
    <hyperlink ref="F13" r:id="rId8" xr:uid="{A01D6B49-A4C7-4C7B-9855-7C5B62912199}"/>
    <hyperlink ref="F14" r:id="rId9" xr:uid="{D6F6A044-CEA1-480E-B0D2-09E574810AE0}"/>
    <hyperlink ref="F15" r:id="rId10" display="https://pli.texmin.gov.in/Guidelines/Approved%20Guidelines%20for%20PLI%20scheme%20for%20Textiles.pdf https://www.india-briefing.com/news/india-pli-scheme-for-textiles-full-list-of-beneficiaries-24948.html/#:~:text=The%20scheme%20has%20two%20parts,turnover%20required%20INR%202%20billion.     https://pib.gov.in/PressReleaseIframePage.aspx?PRID=1816795" xr:uid="{272C604C-24C9-412A-B017-3DB87003C3BB}"/>
    <hyperlink ref="F16" r:id="rId11" xr:uid="{44B09164-02C2-488C-A4B9-75E6D33EB296}"/>
    <hyperlink ref="F20" r:id="rId12" xr:uid="{5608D2AD-CBA1-4799-92FF-E4C7DF3AB360}"/>
    <hyperlink ref="F22" r:id="rId13" xr:uid="{DA138655-6357-40DF-B3C2-A6A4BF55AB83}"/>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903CC4-39EC-4D06-B59F-AD55D687284F}">
  <sheetPr>
    <tabColor theme="2" tint="-9.9978637043366805E-2"/>
  </sheetPr>
  <dimension ref="A3:O92"/>
  <sheetViews>
    <sheetView zoomScale="70" workbookViewId="0">
      <pane ySplit="3" topLeftCell="A4" activePane="bottomLeft" state="frozen"/>
      <selection pane="bottomLeft" activeCell="F7" sqref="F7"/>
    </sheetView>
  </sheetViews>
  <sheetFormatPr defaultColWidth="9.21875" defaultRowHeight="15.6" x14ac:dyDescent="0.3"/>
  <cols>
    <col min="1" max="1" width="41.21875" style="2" bestFit="1" customWidth="1"/>
    <col min="2" max="6" width="15.5546875" style="2" bestFit="1" customWidth="1"/>
    <col min="7" max="9" width="9.21875" style="2"/>
    <col min="10" max="10" width="29.21875" style="2" customWidth="1"/>
    <col min="11" max="15" width="13.77734375" style="2" bestFit="1" customWidth="1"/>
    <col min="16" max="16384" width="9.21875" style="2"/>
  </cols>
  <sheetData>
    <row r="3" spans="1:6" x14ac:dyDescent="0.3">
      <c r="A3" s="31" t="s">
        <v>135</v>
      </c>
      <c r="B3" s="32">
        <v>2018</v>
      </c>
      <c r="C3" s="32">
        <v>2019</v>
      </c>
      <c r="D3" s="32">
        <v>2020</v>
      </c>
      <c r="E3" s="32">
        <v>2021</v>
      </c>
      <c r="F3" s="33">
        <v>2022</v>
      </c>
    </row>
    <row r="4" spans="1:6" ht="17.399999999999999" x14ac:dyDescent="0.3">
      <c r="A4" s="747" t="s">
        <v>136</v>
      </c>
      <c r="B4" s="748"/>
      <c r="C4" s="748"/>
      <c r="D4" s="748"/>
      <c r="E4" s="748"/>
      <c r="F4" s="749"/>
    </row>
    <row r="5" spans="1:6" x14ac:dyDescent="0.3">
      <c r="A5" s="13" t="s">
        <v>137</v>
      </c>
      <c r="B5" s="14"/>
      <c r="C5" s="14"/>
      <c r="D5" s="14"/>
      <c r="E5" s="14"/>
      <c r="F5" s="15"/>
    </row>
    <row r="6" spans="1:6" x14ac:dyDescent="0.3">
      <c r="A6" s="16" t="s">
        <v>138</v>
      </c>
      <c r="B6" s="12" t="s">
        <v>139</v>
      </c>
      <c r="C6" s="12"/>
      <c r="D6" s="12"/>
      <c r="E6" s="12" t="s">
        <v>139</v>
      </c>
      <c r="F6" s="17" t="s">
        <v>139</v>
      </c>
    </row>
    <row r="7" spans="1:6" x14ac:dyDescent="0.3">
      <c r="A7" s="18" t="s">
        <v>140</v>
      </c>
      <c r="B7" s="695">
        <v>59729</v>
      </c>
      <c r="C7" s="695">
        <v>110164</v>
      </c>
      <c r="D7" s="695">
        <v>124982</v>
      </c>
      <c r="E7" s="695">
        <v>121693</v>
      </c>
      <c r="F7" s="696">
        <v>166911</v>
      </c>
    </row>
    <row r="8" spans="1:6" x14ac:dyDescent="0.3">
      <c r="A8" s="18" t="s">
        <v>141</v>
      </c>
      <c r="B8" s="695">
        <v>132632</v>
      </c>
      <c r="C8" s="695">
        <v>145198</v>
      </c>
      <c r="D8" s="695">
        <v>126731</v>
      </c>
      <c r="E8" s="695">
        <v>122320</v>
      </c>
      <c r="F8" s="696">
        <v>181859</v>
      </c>
    </row>
    <row r="9" spans="1:6" x14ac:dyDescent="0.3">
      <c r="A9" s="18" t="s">
        <v>142</v>
      </c>
      <c r="B9" s="695">
        <v>34746</v>
      </c>
      <c r="C9" s="695">
        <v>16653</v>
      </c>
      <c r="D9" s="695">
        <v>15647</v>
      </c>
      <c r="E9" s="695">
        <v>29597</v>
      </c>
      <c r="F9" s="696">
        <v>27895</v>
      </c>
    </row>
    <row r="10" spans="1:6" x14ac:dyDescent="0.3">
      <c r="A10" s="18" t="s">
        <v>143</v>
      </c>
      <c r="B10" s="695">
        <v>9067</v>
      </c>
      <c r="C10" s="695">
        <v>9930</v>
      </c>
      <c r="D10" s="695">
        <v>9752</v>
      </c>
      <c r="E10" s="695">
        <v>8432</v>
      </c>
      <c r="F10" s="696">
        <v>11408</v>
      </c>
    </row>
    <row r="11" spans="1:6" x14ac:dyDescent="0.3">
      <c r="A11" s="18" t="s">
        <v>144</v>
      </c>
      <c r="B11" s="695">
        <v>1397</v>
      </c>
      <c r="C11" s="695">
        <v>2609</v>
      </c>
      <c r="D11" s="695">
        <v>1696</v>
      </c>
      <c r="E11" s="695">
        <v>1752</v>
      </c>
      <c r="F11" s="696">
        <v>2144</v>
      </c>
    </row>
    <row r="12" spans="1:6" x14ac:dyDescent="0.3">
      <c r="A12" s="16" t="s">
        <v>145</v>
      </c>
      <c r="B12" s="697">
        <f>SUM(B7:B11)</f>
        <v>237571</v>
      </c>
      <c r="C12" s="697">
        <f>SUM(C7:C11)</f>
        <v>284554</v>
      </c>
      <c r="D12" s="697">
        <f>SUM(D7:D11)</f>
        <v>278808</v>
      </c>
      <c r="E12" s="697">
        <f>SUM(E7:E11)</f>
        <v>283794</v>
      </c>
      <c r="F12" s="698">
        <f>SUM(F7:F11)</f>
        <v>390217</v>
      </c>
    </row>
    <row r="13" spans="1:6" x14ac:dyDescent="0.3">
      <c r="A13" s="18" t="s">
        <v>146</v>
      </c>
      <c r="B13" s="695">
        <v>71</v>
      </c>
      <c r="C13" s="695">
        <v>763</v>
      </c>
      <c r="D13" s="695">
        <v>1556</v>
      </c>
      <c r="E13" s="695">
        <v>395</v>
      </c>
      <c r="F13" s="696">
        <v>722</v>
      </c>
    </row>
    <row r="14" spans="1:6" x14ac:dyDescent="0.3">
      <c r="A14" s="16" t="s">
        <v>147</v>
      </c>
      <c r="B14" s="697">
        <f>B12-B13</f>
        <v>237500</v>
      </c>
      <c r="C14" s="697">
        <f>C12-C13</f>
        <v>283791</v>
      </c>
      <c r="D14" s="697">
        <f>D12-D13</f>
        <v>277252</v>
      </c>
      <c r="E14" s="697">
        <f>E12-E13</f>
        <v>283399</v>
      </c>
      <c r="F14" s="698">
        <f>F12-F13</f>
        <v>389495</v>
      </c>
    </row>
    <row r="15" spans="1:6" x14ac:dyDescent="0.3">
      <c r="A15" s="16" t="s">
        <v>148</v>
      </c>
      <c r="B15" s="695" t="s">
        <v>139</v>
      </c>
      <c r="C15" s="695"/>
      <c r="D15" s="695"/>
      <c r="E15" s="695" t="s">
        <v>139</v>
      </c>
      <c r="F15" s="696" t="s">
        <v>139</v>
      </c>
    </row>
    <row r="16" spans="1:6" x14ac:dyDescent="0.3">
      <c r="A16" s="18" t="s">
        <v>149</v>
      </c>
      <c r="B16" s="695">
        <v>7126</v>
      </c>
      <c r="C16" s="695">
        <v>4534</v>
      </c>
      <c r="D16" s="695">
        <v>2948</v>
      </c>
      <c r="E16" s="695">
        <v>4723</v>
      </c>
      <c r="F16" s="696">
        <v>5374</v>
      </c>
    </row>
    <row r="17" spans="1:12" x14ac:dyDescent="0.3">
      <c r="A17" s="16" t="s">
        <v>150</v>
      </c>
      <c r="B17" s="697">
        <v>6526</v>
      </c>
      <c r="C17" s="697">
        <v>9528</v>
      </c>
      <c r="D17" s="697">
        <v>9607</v>
      </c>
      <c r="E17" s="697">
        <v>7242</v>
      </c>
      <c r="F17" s="698">
        <v>12498</v>
      </c>
    </row>
    <row r="18" spans="1:12" ht="16.2" x14ac:dyDescent="0.35">
      <c r="A18" s="19" t="s">
        <v>151</v>
      </c>
      <c r="B18" s="699">
        <f>B14+B16+B17</f>
        <v>251152</v>
      </c>
      <c r="C18" s="699">
        <f>C14+C16+C17</f>
        <v>297853</v>
      </c>
      <c r="D18" s="699">
        <f>D14+D16+D17</f>
        <v>289807</v>
      </c>
      <c r="E18" s="699">
        <f>E14+E16+E17</f>
        <v>295364</v>
      </c>
      <c r="F18" s="700">
        <f>F14+F16+F17</f>
        <v>407367</v>
      </c>
    </row>
    <row r="19" spans="1:12" x14ac:dyDescent="0.3">
      <c r="A19" s="16" t="s">
        <v>152</v>
      </c>
      <c r="B19" s="695"/>
      <c r="C19" s="695"/>
      <c r="D19" s="695"/>
      <c r="E19" s="695"/>
      <c r="F19" s="696"/>
    </row>
    <row r="20" spans="1:12" ht="31.2" x14ac:dyDescent="0.3">
      <c r="A20" s="20" t="s">
        <v>153</v>
      </c>
      <c r="B20" s="695">
        <v>26</v>
      </c>
      <c r="C20" s="695">
        <v>26</v>
      </c>
      <c r="D20" s="695">
        <v>26</v>
      </c>
      <c r="E20" s="695">
        <v>26</v>
      </c>
      <c r="F20" s="696">
        <v>26</v>
      </c>
    </row>
    <row r="21" spans="1:12" x14ac:dyDescent="0.3">
      <c r="A21" s="18" t="s">
        <v>154</v>
      </c>
      <c r="B21" s="695">
        <v>116</v>
      </c>
      <c r="C21" s="695">
        <v>181</v>
      </c>
      <c r="D21" s="695">
        <v>546</v>
      </c>
      <c r="E21" s="695">
        <v>359</v>
      </c>
      <c r="F21" s="696">
        <v>1359</v>
      </c>
    </row>
    <row r="22" spans="1:12" ht="31.2" x14ac:dyDescent="0.3">
      <c r="A22" s="20" t="s">
        <v>155</v>
      </c>
      <c r="B22" s="695">
        <v>30</v>
      </c>
      <c r="C22" s="695">
        <v>175</v>
      </c>
      <c r="D22" s="695">
        <v>215</v>
      </c>
      <c r="E22" s="695">
        <v>44</v>
      </c>
      <c r="F22" s="696">
        <v>296</v>
      </c>
    </row>
    <row r="23" spans="1:12" x14ac:dyDescent="0.3">
      <c r="A23" s="18" t="s">
        <v>156</v>
      </c>
      <c r="B23" s="695">
        <v>227</v>
      </c>
      <c r="C23" s="695">
        <v>3049</v>
      </c>
      <c r="D23" s="695">
        <v>2582</v>
      </c>
      <c r="E23" s="695">
        <v>2826</v>
      </c>
      <c r="F23" s="696">
        <v>2947</v>
      </c>
    </row>
    <row r="24" spans="1:12" x14ac:dyDescent="0.3">
      <c r="A24" s="18" t="s">
        <v>157</v>
      </c>
      <c r="B24" s="695">
        <v>1199</v>
      </c>
      <c r="C24" s="695">
        <v>306</v>
      </c>
      <c r="D24" s="695">
        <v>277</v>
      </c>
      <c r="E24" s="695">
        <v>541</v>
      </c>
      <c r="F24" s="696">
        <v>3835</v>
      </c>
    </row>
    <row r="25" spans="1:12" ht="16.2" x14ac:dyDescent="0.35">
      <c r="A25" s="19" t="s">
        <v>158</v>
      </c>
      <c r="B25" s="701">
        <f>SUM(B20:B24)</f>
        <v>1598</v>
      </c>
      <c r="C25" s="701">
        <f>SUM(C20:C24)</f>
        <v>3737</v>
      </c>
      <c r="D25" s="701">
        <f>SUM(D20:D24)</f>
        <v>3646</v>
      </c>
      <c r="E25" s="701">
        <f>SUM(E20:E24)</f>
        <v>3796</v>
      </c>
      <c r="F25" s="702">
        <f>SUM(F20:F24)</f>
        <v>8463</v>
      </c>
      <c r="G25" s="167"/>
      <c r="H25" s="167"/>
      <c r="I25" s="167"/>
      <c r="J25" s="167"/>
      <c r="K25" s="167"/>
      <c r="L25" s="168"/>
    </row>
    <row r="26" spans="1:12" x14ac:dyDescent="0.3">
      <c r="A26" s="16" t="s">
        <v>159</v>
      </c>
      <c r="B26" s="697">
        <f>B18+B25</f>
        <v>252750</v>
      </c>
      <c r="C26" s="697">
        <f>C18+C25</f>
        <v>301590</v>
      </c>
      <c r="D26" s="697">
        <f>D18+D25</f>
        <v>293453</v>
      </c>
      <c r="E26" s="697">
        <f>E18+E25</f>
        <v>299160</v>
      </c>
      <c r="F26" s="698">
        <f>F18+F25</f>
        <v>415830</v>
      </c>
    </row>
    <row r="27" spans="1:12" x14ac:dyDescent="0.3">
      <c r="A27" s="16" t="s">
        <v>160</v>
      </c>
      <c r="B27" s="695" t="s">
        <v>139</v>
      </c>
      <c r="C27" s="695"/>
      <c r="D27" s="695"/>
      <c r="E27" s="695" t="s">
        <v>139</v>
      </c>
      <c r="F27" s="696" t="s">
        <v>139</v>
      </c>
    </row>
    <row r="28" spans="1:12" x14ac:dyDescent="0.3">
      <c r="A28" s="18" t="s">
        <v>161</v>
      </c>
      <c r="B28" s="695">
        <v>164709</v>
      </c>
      <c r="C28" s="695">
        <v>179914</v>
      </c>
      <c r="D28" s="695">
        <v>169522</v>
      </c>
      <c r="E28" s="695">
        <v>137852</v>
      </c>
      <c r="F28" s="696">
        <v>227875</v>
      </c>
    </row>
    <row r="29" spans="1:12" x14ac:dyDescent="0.3">
      <c r="A29" s="18" t="s">
        <v>162</v>
      </c>
      <c r="B29" s="695">
        <v>0</v>
      </c>
      <c r="C29" s="695">
        <v>0</v>
      </c>
      <c r="D29" s="695">
        <v>19718</v>
      </c>
      <c r="E29" s="695">
        <v>0</v>
      </c>
      <c r="F29" s="696">
        <v>0</v>
      </c>
    </row>
    <row r="30" spans="1:12" ht="31.2" x14ac:dyDescent="0.3">
      <c r="A30" s="20" t="s">
        <v>163</v>
      </c>
      <c r="B30" s="695">
        <v>-4513</v>
      </c>
      <c r="C30" s="695">
        <v>-5028</v>
      </c>
      <c r="D30" s="695">
        <v>-18370</v>
      </c>
      <c r="E30" s="695">
        <v>20087</v>
      </c>
      <c r="F30" s="696">
        <v>-8323</v>
      </c>
    </row>
    <row r="31" spans="1:12" x14ac:dyDescent="0.3">
      <c r="A31" s="18" t="s">
        <v>164</v>
      </c>
      <c r="B31" s="695">
        <v>23305</v>
      </c>
      <c r="C31" s="695">
        <v>37341</v>
      </c>
      <c r="D31" s="695">
        <v>38325</v>
      </c>
      <c r="E31" s="695">
        <v>38479</v>
      </c>
      <c r="F31" s="696">
        <v>43289</v>
      </c>
    </row>
    <row r="32" spans="1:12" x14ac:dyDescent="0.3">
      <c r="A32" s="18" t="s">
        <v>165</v>
      </c>
      <c r="B32" s="695">
        <v>3049</v>
      </c>
      <c r="C32" s="695">
        <v>3586</v>
      </c>
      <c r="D32" s="695">
        <v>3541</v>
      </c>
      <c r="E32" s="695">
        <v>1961</v>
      </c>
      <c r="F32" s="696">
        <v>1339</v>
      </c>
    </row>
    <row r="33" spans="1:7" x14ac:dyDescent="0.3">
      <c r="A33" s="18" t="s">
        <v>166</v>
      </c>
      <c r="B33" s="695">
        <v>10497</v>
      </c>
      <c r="C33" s="695">
        <v>9583</v>
      </c>
      <c r="D33" s="695">
        <v>9891</v>
      </c>
      <c r="E33" s="695">
        <v>9792</v>
      </c>
      <c r="F33" s="696">
        <v>7565</v>
      </c>
    </row>
    <row r="34" spans="1:7" x14ac:dyDescent="0.3">
      <c r="A34" s="18" t="s">
        <v>167</v>
      </c>
      <c r="B34" s="695">
        <v>24747</v>
      </c>
      <c r="C34" s="695">
        <v>34919</v>
      </c>
      <c r="D34" s="695">
        <v>33159</v>
      </c>
      <c r="E34" s="695">
        <v>32507</v>
      </c>
      <c r="F34" s="696">
        <v>46136</v>
      </c>
    </row>
    <row r="35" spans="1:7" x14ac:dyDescent="0.3">
      <c r="A35" s="16" t="s">
        <v>168</v>
      </c>
      <c r="B35" s="697">
        <f>B28+SUM(B29:B34)</f>
        <v>221794</v>
      </c>
      <c r="C35" s="697">
        <f>C28+SUM(C29:C34)</f>
        <v>260315</v>
      </c>
      <c r="D35" s="697">
        <f>D28+SUM(D29:D34)</f>
        <v>255786</v>
      </c>
      <c r="E35" s="697">
        <f>E28+SUM(E29:E34)</f>
        <v>240678</v>
      </c>
      <c r="F35" s="698">
        <f>F28+SUM(F29:F34)</f>
        <v>317881</v>
      </c>
    </row>
    <row r="36" spans="1:7" x14ac:dyDescent="0.3">
      <c r="A36" s="16" t="s">
        <v>169</v>
      </c>
      <c r="B36" s="697">
        <f>B26-B35</f>
        <v>30956</v>
      </c>
      <c r="C36" s="697">
        <f>C26-C35</f>
        <v>41275</v>
      </c>
      <c r="D36" s="697">
        <f>D26-D35</f>
        <v>37667</v>
      </c>
      <c r="E36" s="697">
        <f>E26-E35</f>
        <v>58482</v>
      </c>
      <c r="F36" s="698">
        <f>F26-F35</f>
        <v>97949</v>
      </c>
    </row>
    <row r="37" spans="1:7" x14ac:dyDescent="0.3">
      <c r="A37" s="16" t="s">
        <v>170</v>
      </c>
      <c r="B37" s="695" t="s">
        <v>139</v>
      </c>
      <c r="C37" s="695"/>
      <c r="D37" s="695"/>
      <c r="E37" s="695" t="s">
        <v>139</v>
      </c>
      <c r="F37" s="696" t="s">
        <v>139</v>
      </c>
    </row>
    <row r="38" spans="1:7" x14ac:dyDescent="0.3">
      <c r="A38" s="18" t="s">
        <v>171</v>
      </c>
      <c r="B38" s="695">
        <v>8263</v>
      </c>
      <c r="C38" s="695">
        <v>12453</v>
      </c>
      <c r="D38" s="695">
        <v>9140</v>
      </c>
      <c r="E38" s="695">
        <v>15654</v>
      </c>
      <c r="F38" s="696">
        <v>24795</v>
      </c>
    </row>
    <row r="39" spans="1:7" x14ac:dyDescent="0.3">
      <c r="A39" s="21" t="s">
        <v>172</v>
      </c>
      <c r="B39" s="695">
        <v>196</v>
      </c>
      <c r="C39" s="695">
        <v>-89</v>
      </c>
      <c r="D39" s="695">
        <v>-934</v>
      </c>
      <c r="E39" s="695">
        <v>-434</v>
      </c>
      <c r="F39" s="696">
        <v>74</v>
      </c>
    </row>
    <row r="40" spans="1:7" x14ac:dyDescent="0.3">
      <c r="A40" s="16" t="s">
        <v>173</v>
      </c>
      <c r="B40" s="697">
        <f>B38+B39</f>
        <v>8459</v>
      </c>
      <c r="C40" s="697">
        <f>C38+C39</f>
        <v>12364</v>
      </c>
      <c r="D40" s="697">
        <f>D38+D39</f>
        <v>8206</v>
      </c>
      <c r="E40" s="697">
        <f>E38+E39</f>
        <v>15220</v>
      </c>
      <c r="F40" s="698">
        <f>F38+F39</f>
        <v>24869</v>
      </c>
      <c r="G40" s="5"/>
    </row>
    <row r="41" spans="1:7" ht="16.2" x14ac:dyDescent="0.35">
      <c r="A41" s="22" t="s">
        <v>174</v>
      </c>
      <c r="B41" s="703">
        <f>B36-B40</f>
        <v>22497</v>
      </c>
      <c r="C41" s="703">
        <f>C36-C40</f>
        <v>28911</v>
      </c>
      <c r="D41" s="703">
        <f>D36-D40</f>
        <v>29461</v>
      </c>
      <c r="E41" s="703">
        <f>E36-E40</f>
        <v>43262</v>
      </c>
      <c r="F41" s="704">
        <f>F36-F40</f>
        <v>73080</v>
      </c>
    </row>
    <row r="44" spans="1:7" x14ac:dyDescent="0.3">
      <c r="A44" s="3"/>
      <c r="B44" s="3"/>
      <c r="C44" s="3"/>
      <c r="D44" s="3"/>
      <c r="E44" s="3"/>
      <c r="F44" s="3"/>
      <c r="G44" s="3"/>
    </row>
    <row r="45" spans="1:7" ht="17.399999999999999" x14ac:dyDescent="0.3">
      <c r="A45" s="744" t="s">
        <v>175</v>
      </c>
      <c r="B45" s="745"/>
      <c r="C45" s="745"/>
      <c r="D45" s="745"/>
      <c r="E45" s="745"/>
      <c r="F45" s="746"/>
      <c r="G45" s="3"/>
    </row>
    <row r="46" spans="1:7" x14ac:dyDescent="0.3">
      <c r="A46" s="6" t="s">
        <v>135</v>
      </c>
      <c r="B46" s="7">
        <v>2018</v>
      </c>
      <c r="C46" s="7">
        <v>2019</v>
      </c>
      <c r="D46" s="7">
        <v>2020</v>
      </c>
      <c r="E46" s="7">
        <v>2021</v>
      </c>
      <c r="F46" s="8">
        <v>2022</v>
      </c>
      <c r="G46" s="3"/>
    </row>
    <row r="47" spans="1:7" ht="16.8" x14ac:dyDescent="0.3">
      <c r="A47" s="27" t="s">
        <v>176</v>
      </c>
      <c r="B47" s="4" t="s">
        <v>139</v>
      </c>
      <c r="C47" s="4" t="s">
        <v>139</v>
      </c>
      <c r="D47" s="4" t="s">
        <v>139</v>
      </c>
      <c r="E47" s="4" t="s">
        <v>139</v>
      </c>
      <c r="F47" s="10" t="s">
        <v>139</v>
      </c>
      <c r="G47" s="3"/>
    </row>
    <row r="48" spans="1:7" x14ac:dyDescent="0.3">
      <c r="A48" s="9" t="s">
        <v>177</v>
      </c>
      <c r="B48" s="687" t="s">
        <v>139</v>
      </c>
      <c r="C48" s="687" t="s">
        <v>139</v>
      </c>
      <c r="D48" s="687" t="s">
        <v>139</v>
      </c>
      <c r="E48" s="687" t="s">
        <v>139</v>
      </c>
      <c r="F48" s="688" t="s">
        <v>139</v>
      </c>
      <c r="G48" s="3"/>
    </row>
    <row r="49" spans="1:15" x14ac:dyDescent="0.3">
      <c r="A49" s="11" t="s">
        <v>178</v>
      </c>
      <c r="B49" s="687">
        <v>86436</v>
      </c>
      <c r="C49" s="687">
        <v>79383</v>
      </c>
      <c r="D49" s="687">
        <v>86551</v>
      </c>
      <c r="E49" s="687">
        <v>79680</v>
      </c>
      <c r="F49" s="688">
        <v>84433</v>
      </c>
      <c r="G49" s="3"/>
    </row>
    <row r="50" spans="1:15" x14ac:dyDescent="0.3">
      <c r="A50" s="11" t="s">
        <v>179</v>
      </c>
      <c r="B50" s="687">
        <v>10</v>
      </c>
      <c r="C50" s="687">
        <v>441</v>
      </c>
      <c r="D50" s="687">
        <v>579</v>
      </c>
      <c r="E50" s="687">
        <v>1742</v>
      </c>
      <c r="F50" s="688">
        <v>491</v>
      </c>
      <c r="G50" s="3"/>
    </row>
    <row r="51" spans="1:15" x14ac:dyDescent="0.3">
      <c r="A51" s="11" t="s">
        <v>180</v>
      </c>
      <c r="B51" s="687">
        <v>18</v>
      </c>
      <c r="C51" s="687">
        <v>20</v>
      </c>
      <c r="D51" s="687">
        <v>105</v>
      </c>
      <c r="E51" s="687">
        <v>95</v>
      </c>
      <c r="F51" s="688">
        <v>80</v>
      </c>
      <c r="G51" s="3"/>
    </row>
    <row r="52" spans="1:15" x14ac:dyDescent="0.3">
      <c r="A52" s="11" t="s">
        <v>181</v>
      </c>
      <c r="B52" s="687" t="s">
        <v>139</v>
      </c>
      <c r="C52" s="687" t="s">
        <v>139</v>
      </c>
      <c r="D52" s="687" t="s">
        <v>139</v>
      </c>
      <c r="E52" s="687" t="s">
        <v>139</v>
      </c>
      <c r="F52" s="688" t="s">
        <v>139</v>
      </c>
      <c r="G52" s="3"/>
    </row>
    <row r="53" spans="1:15" x14ac:dyDescent="0.3">
      <c r="A53" s="11" t="s">
        <v>182</v>
      </c>
      <c r="B53" s="687">
        <v>7851</v>
      </c>
      <c r="C53" s="687">
        <v>7987</v>
      </c>
      <c r="D53" s="687">
        <v>8296</v>
      </c>
      <c r="E53" s="687">
        <v>18714</v>
      </c>
      <c r="F53" s="688">
        <v>57912</v>
      </c>
      <c r="G53" s="3"/>
    </row>
    <row r="54" spans="1:15" x14ac:dyDescent="0.3">
      <c r="A54" s="11" t="s">
        <v>183</v>
      </c>
      <c r="B54" s="687">
        <v>826</v>
      </c>
      <c r="C54" s="687">
        <v>1802</v>
      </c>
      <c r="D54" s="687">
        <v>352</v>
      </c>
      <c r="E54" s="687">
        <v>555</v>
      </c>
      <c r="F54" s="688">
        <v>204</v>
      </c>
      <c r="G54" s="3"/>
    </row>
    <row r="55" spans="1:15" x14ac:dyDescent="0.3">
      <c r="A55" s="11" t="s">
        <v>184</v>
      </c>
      <c r="B55" s="687">
        <v>0</v>
      </c>
      <c r="C55" s="687">
        <v>0</v>
      </c>
      <c r="D55" s="687">
        <v>1177</v>
      </c>
      <c r="E55" s="687">
        <v>1875</v>
      </c>
      <c r="F55" s="688">
        <v>2350</v>
      </c>
      <c r="G55" s="3"/>
    </row>
    <row r="56" spans="1:15" x14ac:dyDescent="0.3">
      <c r="A56" s="11" t="s">
        <v>185</v>
      </c>
      <c r="B56" s="687">
        <v>6460</v>
      </c>
      <c r="C56" s="687">
        <v>5077</v>
      </c>
      <c r="D56" s="687">
        <v>2756</v>
      </c>
      <c r="E56" s="687">
        <v>2082</v>
      </c>
      <c r="F56" s="688">
        <v>3479</v>
      </c>
      <c r="G56" s="3"/>
    </row>
    <row r="57" spans="1:15" x14ac:dyDescent="0.3">
      <c r="A57" s="9" t="s">
        <v>186</v>
      </c>
      <c r="B57" s="689">
        <f>SUM(B49:B56)</f>
        <v>101601</v>
      </c>
      <c r="C57" s="689">
        <f>SUM(C49:C56)</f>
        <v>94710</v>
      </c>
      <c r="D57" s="689">
        <f>SUM(D49:D56)</f>
        <v>99816</v>
      </c>
      <c r="E57" s="689">
        <f>SUM(E49:E56)</f>
        <v>104743</v>
      </c>
      <c r="F57" s="690">
        <f>SUM(F49:F56)</f>
        <v>148949</v>
      </c>
      <c r="G57" s="3"/>
    </row>
    <row r="58" spans="1:15" x14ac:dyDescent="0.3">
      <c r="A58" s="9" t="s">
        <v>187</v>
      </c>
      <c r="B58" s="687" t="s">
        <v>139</v>
      </c>
      <c r="C58" s="687" t="s">
        <v>139</v>
      </c>
      <c r="D58" s="687" t="s">
        <v>139</v>
      </c>
      <c r="E58" s="687" t="s">
        <v>139</v>
      </c>
      <c r="F58" s="688" t="s">
        <v>139</v>
      </c>
      <c r="G58" s="3"/>
    </row>
    <row r="59" spans="1:15" x14ac:dyDescent="0.3">
      <c r="A59" s="11" t="s">
        <v>188</v>
      </c>
      <c r="B59" s="687">
        <v>39134</v>
      </c>
      <c r="C59" s="687">
        <v>72934</v>
      </c>
      <c r="D59" s="687">
        <v>49437</v>
      </c>
      <c r="E59" s="687">
        <v>69085</v>
      </c>
      <c r="F59" s="688">
        <v>85190</v>
      </c>
      <c r="G59" s="3"/>
    </row>
    <row r="60" spans="1:15" x14ac:dyDescent="0.3">
      <c r="A60" s="11" t="s">
        <v>189</v>
      </c>
      <c r="B60" s="687" t="s">
        <v>139</v>
      </c>
      <c r="C60" s="687" t="s">
        <v>139</v>
      </c>
      <c r="D60" s="687" t="s">
        <v>139</v>
      </c>
      <c r="E60" s="687" t="s">
        <v>139</v>
      </c>
      <c r="F60" s="688" t="s">
        <v>139</v>
      </c>
      <c r="G60" s="3"/>
    </row>
    <row r="61" spans="1:15" x14ac:dyDescent="0.3">
      <c r="A61" s="11" t="s">
        <v>190</v>
      </c>
      <c r="B61" s="687">
        <v>1202</v>
      </c>
      <c r="C61" s="687">
        <v>0</v>
      </c>
      <c r="D61" s="687">
        <v>701</v>
      </c>
      <c r="E61" s="687">
        <v>23344</v>
      </c>
      <c r="F61" s="688">
        <v>27403</v>
      </c>
      <c r="G61" s="3"/>
    </row>
    <row r="62" spans="1:15" x14ac:dyDescent="0.3">
      <c r="A62" s="11" t="s">
        <v>191</v>
      </c>
      <c r="B62" s="687">
        <v>32419</v>
      </c>
      <c r="C62" s="687">
        <v>46830</v>
      </c>
      <c r="D62" s="687">
        <v>35127</v>
      </c>
      <c r="E62" s="687">
        <v>26081</v>
      </c>
      <c r="F62" s="688">
        <v>39263</v>
      </c>
      <c r="G62" s="3"/>
      <c r="J62" s="750" t="s">
        <v>192</v>
      </c>
      <c r="K62" s="751"/>
      <c r="L62" s="751"/>
      <c r="M62" s="751"/>
      <c r="N62" s="751"/>
      <c r="O62" s="752"/>
    </row>
    <row r="63" spans="1:15" x14ac:dyDescent="0.3">
      <c r="A63" s="11" t="s">
        <v>193</v>
      </c>
      <c r="B63" s="687">
        <v>1641</v>
      </c>
      <c r="C63" s="687">
        <v>5633</v>
      </c>
      <c r="D63" s="687">
        <v>14533</v>
      </c>
      <c r="E63" s="687">
        <v>4503</v>
      </c>
      <c r="F63" s="688">
        <v>9561</v>
      </c>
      <c r="G63" s="3"/>
      <c r="J63" s="26" t="s">
        <v>194</v>
      </c>
      <c r="K63" s="23">
        <v>2018</v>
      </c>
      <c r="L63" s="23">
        <v>2019</v>
      </c>
      <c r="M63" s="23">
        <v>2020</v>
      </c>
      <c r="N63" s="23">
        <v>2021</v>
      </c>
      <c r="O63" s="24">
        <v>2022</v>
      </c>
    </row>
    <row r="64" spans="1:15" x14ac:dyDescent="0.3">
      <c r="A64" s="11" t="s">
        <v>195</v>
      </c>
      <c r="B64" s="687">
        <v>1100</v>
      </c>
      <c r="C64" s="687">
        <v>1044</v>
      </c>
      <c r="D64" s="687">
        <v>171</v>
      </c>
      <c r="E64" s="687">
        <v>787</v>
      </c>
      <c r="F64" s="688">
        <v>479</v>
      </c>
      <c r="G64" s="3"/>
      <c r="J64" s="18" t="s">
        <v>196</v>
      </c>
      <c r="K64" s="293">
        <v>18579</v>
      </c>
      <c r="L64" s="293">
        <v>21959</v>
      </c>
      <c r="M64" s="293">
        <v>50060</v>
      </c>
      <c r="N64" s="293">
        <v>9486</v>
      </c>
      <c r="O64" s="428">
        <v>47960</v>
      </c>
    </row>
    <row r="65" spans="1:15" x14ac:dyDescent="0.3">
      <c r="A65" s="11" t="s">
        <v>197</v>
      </c>
      <c r="B65" s="687">
        <v>4196</v>
      </c>
      <c r="C65" s="687">
        <v>1221</v>
      </c>
      <c r="D65" s="687">
        <v>249</v>
      </c>
      <c r="E65" s="687">
        <v>4359</v>
      </c>
      <c r="F65" s="688">
        <v>4442</v>
      </c>
      <c r="G65" s="3"/>
      <c r="J65" s="18" t="s">
        <v>198</v>
      </c>
      <c r="K65" s="293">
        <v>168089</v>
      </c>
      <c r="L65" s="293">
        <v>208015</v>
      </c>
      <c r="M65" s="293">
        <v>128948</v>
      </c>
      <c r="N65" s="293">
        <v>176326</v>
      </c>
      <c r="O65" s="428">
        <v>234727</v>
      </c>
    </row>
    <row r="66" spans="1:15" x14ac:dyDescent="0.3">
      <c r="A66" s="11" t="s">
        <v>199</v>
      </c>
      <c r="B66" s="687">
        <v>11744</v>
      </c>
      <c r="C66" s="687">
        <v>17349</v>
      </c>
      <c r="D66" s="687">
        <v>18686</v>
      </c>
      <c r="E66" s="687">
        <v>15641</v>
      </c>
      <c r="F66" s="688">
        <v>20603</v>
      </c>
      <c r="G66" s="3"/>
      <c r="J66" s="18" t="s">
        <v>200</v>
      </c>
      <c r="K66" s="293">
        <v>21959</v>
      </c>
      <c r="L66" s="293">
        <v>50060</v>
      </c>
      <c r="M66" s="293">
        <v>9486</v>
      </c>
      <c r="N66" s="293">
        <v>47960</v>
      </c>
      <c r="O66" s="428">
        <v>54812</v>
      </c>
    </row>
    <row r="67" spans="1:15" x14ac:dyDescent="0.3">
      <c r="A67" s="9" t="s">
        <v>201</v>
      </c>
      <c r="B67" s="689">
        <f>SUM(B59:B66)</f>
        <v>91436</v>
      </c>
      <c r="C67" s="689">
        <f>SUM(C59:C66)</f>
        <v>145011</v>
      </c>
      <c r="D67" s="689">
        <f>SUM(D59:D66)</f>
        <v>118904</v>
      </c>
      <c r="E67" s="689">
        <f>SUM(E59:E66)</f>
        <v>143800</v>
      </c>
      <c r="F67" s="690">
        <f>SUM(F59:F66)</f>
        <v>186941</v>
      </c>
      <c r="G67" s="3"/>
      <c r="J67" s="705" t="s">
        <v>202</v>
      </c>
      <c r="K67" s="706">
        <f>K64+K65-K66</f>
        <v>164709</v>
      </c>
      <c r="L67" s="706">
        <f t="shared" ref="L67:N67" si="0">L64+L65-L66</f>
        <v>179914</v>
      </c>
      <c r="M67" s="706">
        <f>M64+M65-M66</f>
        <v>169522</v>
      </c>
      <c r="N67" s="706">
        <f t="shared" si="0"/>
        <v>137852</v>
      </c>
      <c r="O67" s="707">
        <f>O64+O65-O66</f>
        <v>227875</v>
      </c>
    </row>
    <row r="68" spans="1:15" ht="17.399999999999999" x14ac:dyDescent="0.3">
      <c r="A68" s="29" t="s">
        <v>203</v>
      </c>
      <c r="B68" s="691">
        <v>193037</v>
      </c>
      <c r="C68" s="691">
        <v>239721</v>
      </c>
      <c r="D68" s="691">
        <v>218720</v>
      </c>
      <c r="E68" s="691">
        <f>E57+E67</f>
        <v>248543</v>
      </c>
      <c r="F68" s="692">
        <v>335890</v>
      </c>
      <c r="G68" s="3"/>
    </row>
    <row r="69" spans="1:15" x14ac:dyDescent="0.3">
      <c r="A69" s="9"/>
      <c r="B69" s="689"/>
      <c r="C69" s="689"/>
      <c r="D69" s="689"/>
      <c r="E69" s="689"/>
      <c r="F69" s="690"/>
      <c r="G69" s="3"/>
    </row>
    <row r="70" spans="1:15" ht="16.8" x14ac:dyDescent="0.3">
      <c r="A70" s="28" t="s">
        <v>204</v>
      </c>
      <c r="B70" s="687" t="s">
        <v>139</v>
      </c>
      <c r="C70" s="687" t="s">
        <v>139</v>
      </c>
      <c r="D70" s="687" t="s">
        <v>139</v>
      </c>
      <c r="E70" s="687" t="s">
        <v>139</v>
      </c>
      <c r="F70" s="688" t="s">
        <v>139</v>
      </c>
      <c r="G70" s="3"/>
      <c r="J70" s="3"/>
    </row>
    <row r="71" spans="1:15" x14ac:dyDescent="0.3">
      <c r="A71" s="9" t="s">
        <v>205</v>
      </c>
      <c r="B71" s="687" t="s">
        <v>139</v>
      </c>
      <c r="C71" s="687" t="s">
        <v>139</v>
      </c>
      <c r="D71" s="687" t="s">
        <v>139</v>
      </c>
      <c r="E71" s="687" t="s">
        <v>139</v>
      </c>
      <c r="F71" s="688" t="s">
        <v>139</v>
      </c>
      <c r="G71" s="3"/>
    </row>
    <row r="72" spans="1:15" x14ac:dyDescent="0.3">
      <c r="A72" s="11" t="s">
        <v>206</v>
      </c>
      <c r="B72" s="687">
        <v>3695</v>
      </c>
      <c r="C72" s="687">
        <v>3628</v>
      </c>
      <c r="D72" s="687">
        <v>3441</v>
      </c>
      <c r="E72" s="687">
        <v>3441</v>
      </c>
      <c r="F72" s="688">
        <v>3441</v>
      </c>
      <c r="G72" s="3"/>
    </row>
    <row r="73" spans="1:15" x14ac:dyDescent="0.3">
      <c r="A73" s="11" t="s">
        <v>207</v>
      </c>
      <c r="B73" s="687">
        <v>129977</v>
      </c>
      <c r="C73" s="687">
        <v>147492</v>
      </c>
      <c r="D73" s="687">
        <v>147047</v>
      </c>
      <c r="E73" s="687">
        <v>187213</v>
      </c>
      <c r="F73" s="688">
        <v>259777</v>
      </c>
      <c r="G73" s="3"/>
    </row>
    <row r="74" spans="1:15" x14ac:dyDescent="0.3">
      <c r="A74" s="9" t="s">
        <v>208</v>
      </c>
      <c r="B74" s="689">
        <f>SUM(B72,B73)</f>
        <v>133672</v>
      </c>
      <c r="C74" s="689">
        <f>SUM(C72,C73)</f>
        <v>151120</v>
      </c>
      <c r="D74" s="689">
        <f>SUM(D72,D73)</f>
        <v>150488</v>
      </c>
      <c r="E74" s="689">
        <f>SUM(E72,E73)</f>
        <v>190654</v>
      </c>
      <c r="F74" s="690">
        <f>SUM(F72,F73)</f>
        <v>263218</v>
      </c>
      <c r="G74" s="3"/>
    </row>
    <row r="75" spans="1:15" x14ac:dyDescent="0.3">
      <c r="A75" s="9" t="s">
        <v>209</v>
      </c>
      <c r="B75" s="687" t="s">
        <v>139</v>
      </c>
      <c r="C75" s="687" t="s">
        <v>139</v>
      </c>
      <c r="D75" s="687" t="s">
        <v>139</v>
      </c>
      <c r="E75" s="687" t="s">
        <v>139</v>
      </c>
      <c r="F75" s="688" t="s">
        <v>139</v>
      </c>
      <c r="G75" s="3"/>
    </row>
    <row r="76" spans="1:15" x14ac:dyDescent="0.3">
      <c r="A76" s="9" t="s">
        <v>210</v>
      </c>
      <c r="B76" s="687" t="s">
        <v>139</v>
      </c>
      <c r="C76" s="687" t="s">
        <v>139</v>
      </c>
      <c r="D76" s="687" t="s">
        <v>139</v>
      </c>
      <c r="E76" s="687" t="s">
        <v>139</v>
      </c>
      <c r="F76" s="688" t="s">
        <v>139</v>
      </c>
      <c r="G76" s="3"/>
    </row>
    <row r="77" spans="1:15" x14ac:dyDescent="0.3">
      <c r="A77" s="11" t="s">
        <v>211</v>
      </c>
      <c r="B77" s="687" t="s">
        <v>139</v>
      </c>
      <c r="C77" s="687" t="s">
        <v>139</v>
      </c>
      <c r="D77" s="687" t="s">
        <v>139</v>
      </c>
      <c r="E77" s="687" t="s">
        <v>139</v>
      </c>
      <c r="F77" s="688" t="s">
        <v>139</v>
      </c>
      <c r="G77" s="3"/>
    </row>
    <row r="78" spans="1:15" x14ac:dyDescent="0.3">
      <c r="A78" s="11" t="s">
        <v>212</v>
      </c>
      <c r="B78" s="687">
        <v>10126</v>
      </c>
      <c r="C78" s="687">
        <v>8195</v>
      </c>
      <c r="D78" s="687">
        <v>6659</v>
      </c>
      <c r="E78" s="687">
        <v>990</v>
      </c>
      <c r="F78" s="688">
        <v>31</v>
      </c>
      <c r="G78" s="3"/>
    </row>
    <row r="79" spans="1:15" x14ac:dyDescent="0.3">
      <c r="A79" s="11" t="s">
        <v>213</v>
      </c>
      <c r="B79" s="687">
        <v>5750</v>
      </c>
      <c r="C79" s="687">
        <v>5661</v>
      </c>
      <c r="D79" s="687">
        <v>4727</v>
      </c>
      <c r="E79" s="687">
        <v>4294</v>
      </c>
      <c r="F79" s="688">
        <v>4368</v>
      </c>
      <c r="G79" s="3"/>
    </row>
    <row r="80" spans="1:15" x14ac:dyDescent="0.3">
      <c r="A80" s="11" t="s">
        <v>214</v>
      </c>
      <c r="B80" s="687">
        <v>0</v>
      </c>
      <c r="C80" s="687">
        <v>0</v>
      </c>
      <c r="D80" s="687">
        <v>7</v>
      </c>
      <c r="E80" s="687">
        <v>4</v>
      </c>
      <c r="F80" s="688">
        <v>3</v>
      </c>
      <c r="G80" s="3"/>
    </row>
    <row r="81" spans="1:7" x14ac:dyDescent="0.3">
      <c r="A81" s="9" t="s">
        <v>215</v>
      </c>
      <c r="B81" s="689">
        <f>SUM(B78:B80)</f>
        <v>15876</v>
      </c>
      <c r="C81" s="689">
        <f>SUM(C78:C80)</f>
        <v>13856</v>
      </c>
      <c r="D81" s="689">
        <f>SUM(D78:D80)</f>
        <v>11393</v>
      </c>
      <c r="E81" s="689">
        <f>SUM(E78:E80)</f>
        <v>5288</v>
      </c>
      <c r="F81" s="690">
        <f>SUM(F78:F80)</f>
        <v>4402</v>
      </c>
      <c r="G81" s="3"/>
    </row>
    <row r="82" spans="1:7" x14ac:dyDescent="0.3">
      <c r="A82" s="9" t="s">
        <v>216</v>
      </c>
      <c r="B82" s="687" t="s">
        <v>139</v>
      </c>
      <c r="C82" s="687" t="s">
        <v>139</v>
      </c>
      <c r="D82" s="687" t="s">
        <v>139</v>
      </c>
      <c r="E82" s="687" t="s">
        <v>139</v>
      </c>
      <c r="F82" s="688" t="s">
        <v>139</v>
      </c>
      <c r="G82" s="3"/>
    </row>
    <row r="83" spans="1:7" x14ac:dyDescent="0.3">
      <c r="A83" s="11" t="s">
        <v>211</v>
      </c>
      <c r="B83" s="687" t="s">
        <v>139</v>
      </c>
      <c r="C83" s="687" t="s">
        <v>139</v>
      </c>
      <c r="D83" s="687" t="s">
        <v>139</v>
      </c>
      <c r="E83" s="687" t="s">
        <v>139</v>
      </c>
      <c r="F83" s="688" t="s">
        <v>139</v>
      </c>
      <c r="G83" s="3"/>
    </row>
    <row r="84" spans="1:7" x14ac:dyDescent="0.3">
      <c r="A84" s="11" t="s">
        <v>212</v>
      </c>
      <c r="B84" s="687">
        <v>22822</v>
      </c>
      <c r="C84" s="687">
        <v>55241</v>
      </c>
      <c r="D84" s="687">
        <v>39876</v>
      </c>
      <c r="E84" s="687">
        <v>30579</v>
      </c>
      <c r="F84" s="688">
        <v>41754</v>
      </c>
      <c r="G84" s="3"/>
    </row>
    <row r="85" spans="1:7" x14ac:dyDescent="0.3">
      <c r="A85" s="11" t="s">
        <v>217</v>
      </c>
      <c r="B85" s="687">
        <v>13749</v>
      </c>
      <c r="C85" s="687">
        <v>12350</v>
      </c>
      <c r="D85" s="687">
        <v>10574</v>
      </c>
      <c r="E85" s="687">
        <f>881+9534</f>
        <v>10415</v>
      </c>
      <c r="F85" s="688">
        <v>12406</v>
      </c>
      <c r="G85" s="3"/>
    </row>
    <row r="86" spans="1:7" x14ac:dyDescent="0.3">
      <c r="A86" s="11" t="s">
        <v>218</v>
      </c>
      <c r="B86" s="687">
        <v>3150</v>
      </c>
      <c r="C86" s="687">
        <v>3192</v>
      </c>
      <c r="D86" s="687">
        <v>3592</v>
      </c>
      <c r="E86" s="687">
        <v>5020</v>
      </c>
      <c r="F86" s="688">
        <v>43</v>
      </c>
      <c r="G86" s="3"/>
    </row>
    <row r="87" spans="1:7" x14ac:dyDescent="0.3">
      <c r="A87" s="11" t="s">
        <v>219</v>
      </c>
      <c r="B87" s="687">
        <v>3762</v>
      </c>
      <c r="C87" s="687">
        <v>2915</v>
      </c>
      <c r="D87" s="687">
        <v>2481</v>
      </c>
      <c r="E87" s="687">
        <v>4265</v>
      </c>
      <c r="F87" s="688">
        <v>12395</v>
      </c>
      <c r="G87" s="3"/>
    </row>
    <row r="88" spans="1:7" x14ac:dyDescent="0.3">
      <c r="A88" s="11" t="s">
        <v>220</v>
      </c>
      <c r="B88" s="687">
        <v>6</v>
      </c>
      <c r="C88" s="687">
        <v>1047</v>
      </c>
      <c r="D88" s="687">
        <v>316</v>
      </c>
      <c r="E88" s="687">
        <v>2322</v>
      </c>
      <c r="F88" s="688">
        <v>1672</v>
      </c>
      <c r="G88" s="3"/>
    </row>
    <row r="89" spans="1:7" x14ac:dyDescent="0.3">
      <c r="A89" s="9" t="s">
        <v>221</v>
      </c>
      <c r="B89" s="689">
        <f>SUM(B84:B88)</f>
        <v>43489</v>
      </c>
      <c r="C89" s="689">
        <f>SUM(C84:C88)</f>
        <v>74745</v>
      </c>
      <c r="D89" s="689">
        <f>SUM(D84:D88)</f>
        <v>56839</v>
      </c>
      <c r="E89" s="689">
        <f>SUM(E84:E88)</f>
        <v>52601</v>
      </c>
      <c r="F89" s="690">
        <f>SUM(F84:F88)</f>
        <v>68270</v>
      </c>
      <c r="G89" s="3"/>
    </row>
    <row r="90" spans="1:7" x14ac:dyDescent="0.3">
      <c r="A90" s="9" t="s">
        <v>222</v>
      </c>
      <c r="B90" s="689">
        <f>SUM(B81,B89)</f>
        <v>59365</v>
      </c>
      <c r="C90" s="689">
        <f>SUM(C81,C89)</f>
        <v>88601</v>
      </c>
      <c r="D90" s="689">
        <f>SUM(D81,D89)</f>
        <v>68232</v>
      </c>
      <c r="E90" s="689">
        <f>SUM(E81,E89)</f>
        <v>57889</v>
      </c>
      <c r="F90" s="690">
        <f>SUM(F81,F89)</f>
        <v>72672</v>
      </c>
      <c r="G90" s="3"/>
    </row>
    <row r="91" spans="1:7" ht="17.399999999999999" x14ac:dyDescent="0.3">
      <c r="A91" s="30" t="s">
        <v>223</v>
      </c>
      <c r="B91" s="693">
        <f>SUM(B90,B74)</f>
        <v>193037</v>
      </c>
      <c r="C91" s="693">
        <f>SUM(C90,C74)</f>
        <v>239721</v>
      </c>
      <c r="D91" s="693">
        <f>SUM(D90,D74)</f>
        <v>218720</v>
      </c>
      <c r="E91" s="693">
        <f>SUM(E90,E74)</f>
        <v>248543</v>
      </c>
      <c r="F91" s="694">
        <f>SUM(F90,F74)</f>
        <v>335890</v>
      </c>
      <c r="G91" s="3"/>
    </row>
    <row r="92" spans="1:7" x14ac:dyDescent="0.3">
      <c r="A92" s="3"/>
      <c r="B92" s="3"/>
      <c r="C92" s="3"/>
      <c r="D92" s="3"/>
      <c r="E92" s="3"/>
      <c r="F92" s="3"/>
      <c r="G92" s="3"/>
    </row>
  </sheetData>
  <mergeCells count="3">
    <mergeCell ref="A45:F45"/>
    <mergeCell ref="A4:F4"/>
    <mergeCell ref="J62:O62"/>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75464C-9023-45B7-89AA-CEDE2399CBFE}">
  <sheetPr>
    <tabColor theme="2" tint="-9.9978637043366805E-2"/>
  </sheetPr>
  <dimension ref="A1:AF44"/>
  <sheetViews>
    <sheetView zoomScale="95" workbookViewId="0">
      <pane xSplit="1" ySplit="2" topLeftCell="B14" activePane="bottomRight" state="frozen"/>
      <selection pane="topRight" activeCell="B1" sqref="B1"/>
      <selection pane="bottomLeft" activeCell="A3" sqref="A3"/>
      <selection pane="bottomRight" activeCell="E23" sqref="E23:R25"/>
    </sheetView>
  </sheetViews>
  <sheetFormatPr defaultColWidth="9.21875" defaultRowHeight="15.6" x14ac:dyDescent="0.3"/>
  <cols>
    <col min="1" max="1" width="12" style="2" customWidth="1"/>
    <col min="2" max="2" width="80.5546875" style="2" customWidth="1"/>
    <col min="3" max="3" width="16.88671875" style="2" bestFit="1" customWidth="1"/>
    <col min="4" max="16384" width="9.21875" style="2"/>
  </cols>
  <sheetData>
    <row r="1" spans="1:32" ht="16.2" thickBot="1" x14ac:dyDescent="0.35"/>
    <row r="2" spans="1:32" ht="31.8" thickBot="1" x14ac:dyDescent="0.35">
      <c r="A2" s="717" t="s">
        <v>365</v>
      </c>
      <c r="B2" s="718" t="s">
        <v>135</v>
      </c>
      <c r="C2" s="719" t="s">
        <v>366</v>
      </c>
    </row>
    <row r="3" spans="1:32" ht="18" thickBot="1" x14ac:dyDescent="0.35">
      <c r="A3" s="753" t="s">
        <v>367</v>
      </c>
      <c r="B3" s="754"/>
      <c r="C3" s="755"/>
    </row>
    <row r="4" spans="1:32" ht="31.2" x14ac:dyDescent="0.3">
      <c r="A4" s="249">
        <v>1</v>
      </c>
      <c r="B4" s="250" t="s">
        <v>368</v>
      </c>
      <c r="C4" s="251">
        <v>0.125</v>
      </c>
    </row>
    <row r="5" spans="1:32" s="157" customFormat="1" ht="31.2" x14ac:dyDescent="0.3">
      <c r="A5" s="252">
        <v>2</v>
      </c>
      <c r="B5" s="155" t="s">
        <v>369</v>
      </c>
      <c r="C5" s="253">
        <v>3.6999999999999998E-2</v>
      </c>
      <c r="D5" s="2"/>
      <c r="E5" s="160" t="s">
        <v>370</v>
      </c>
      <c r="F5" s="2"/>
      <c r="G5" s="2"/>
      <c r="H5" s="2"/>
      <c r="I5" s="2"/>
      <c r="J5" s="2"/>
      <c r="K5" s="2"/>
      <c r="L5" s="2"/>
      <c r="M5" s="2"/>
      <c r="N5" s="2"/>
      <c r="O5" s="2"/>
      <c r="P5" s="2"/>
      <c r="Q5" s="2"/>
      <c r="R5" s="2"/>
      <c r="S5" s="2"/>
      <c r="T5" s="2"/>
      <c r="U5" s="2"/>
      <c r="V5" s="2"/>
      <c r="W5" s="2"/>
      <c r="X5" s="2"/>
      <c r="Y5" s="2"/>
      <c r="Z5" s="2"/>
      <c r="AA5" s="2"/>
      <c r="AB5" s="2"/>
      <c r="AC5" s="2"/>
      <c r="AD5" s="2"/>
      <c r="AE5" s="2"/>
      <c r="AF5" s="2"/>
    </row>
    <row r="6" spans="1:32" x14ac:dyDescent="0.3">
      <c r="A6" s="252">
        <v>3</v>
      </c>
      <c r="B6" s="155" t="s">
        <v>371</v>
      </c>
      <c r="C6" s="253"/>
    </row>
    <row r="7" spans="1:32" ht="31.2" x14ac:dyDescent="0.3">
      <c r="A7" s="252">
        <v>4</v>
      </c>
      <c r="B7" s="155" t="s">
        <v>372</v>
      </c>
      <c r="C7" s="253">
        <v>0.05</v>
      </c>
      <c r="D7" s="161"/>
    </row>
    <row r="8" spans="1:32" x14ac:dyDescent="0.3">
      <c r="A8" s="252">
        <v>5</v>
      </c>
      <c r="B8" s="155" t="s">
        <v>373</v>
      </c>
      <c r="C8" s="254"/>
      <c r="D8" s="161"/>
    </row>
    <row r="9" spans="1:32" x14ac:dyDescent="0.3">
      <c r="A9" s="252">
        <v>6</v>
      </c>
      <c r="B9" s="155" t="s">
        <v>374</v>
      </c>
      <c r="C9" s="254"/>
      <c r="D9" s="161"/>
    </row>
    <row r="10" spans="1:32" x14ac:dyDescent="0.3">
      <c r="A10" s="252">
        <v>7</v>
      </c>
      <c r="B10" s="25" t="s">
        <v>375</v>
      </c>
      <c r="C10" s="254"/>
      <c r="D10" s="161"/>
    </row>
    <row r="11" spans="1:32" ht="46.8" x14ac:dyDescent="0.3">
      <c r="A11" s="766">
        <v>8</v>
      </c>
      <c r="B11" s="155" t="s">
        <v>543</v>
      </c>
      <c r="C11" s="254"/>
      <c r="D11" s="161"/>
      <c r="E11" s="763" t="s">
        <v>539</v>
      </c>
      <c r="F11" s="763"/>
      <c r="G11" s="763"/>
      <c r="H11" s="763"/>
      <c r="I11" s="765" t="s">
        <v>542</v>
      </c>
      <c r="J11" s="765"/>
      <c r="K11" s="765"/>
      <c r="L11" s="765"/>
    </row>
    <row r="12" spans="1:32" ht="31.2" x14ac:dyDescent="0.3">
      <c r="A12" s="767"/>
      <c r="B12" s="155" t="s">
        <v>544</v>
      </c>
      <c r="C12" s="254"/>
      <c r="D12" s="161"/>
      <c r="E12" s="721"/>
      <c r="F12" s="721"/>
      <c r="G12" s="721"/>
      <c r="H12" s="721"/>
      <c r="I12" s="720"/>
      <c r="J12" s="720"/>
      <c r="K12" s="720"/>
      <c r="L12" s="720"/>
    </row>
    <row r="13" spans="1:32" x14ac:dyDescent="0.3">
      <c r="A13" s="252">
        <v>9</v>
      </c>
      <c r="B13" s="25" t="s">
        <v>376</v>
      </c>
      <c r="C13" s="254"/>
      <c r="D13" s="161"/>
      <c r="E13" s="2" t="s">
        <v>546</v>
      </c>
    </row>
    <row r="14" spans="1:32" x14ac:dyDescent="0.3">
      <c r="A14" s="252">
        <v>10</v>
      </c>
      <c r="B14" s="155" t="s">
        <v>377</v>
      </c>
      <c r="C14" s="254"/>
      <c r="D14" s="161"/>
      <c r="E14" s="2" t="s">
        <v>547</v>
      </c>
    </row>
    <row r="15" spans="1:32" x14ac:dyDescent="0.3">
      <c r="A15" s="252">
        <v>11</v>
      </c>
      <c r="B15" s="155" t="s">
        <v>378</v>
      </c>
      <c r="C15" s="254"/>
      <c r="D15" s="161"/>
      <c r="E15" s="2" t="s">
        <v>548</v>
      </c>
    </row>
    <row r="16" spans="1:32" ht="124.8" customHeight="1" x14ac:dyDescent="0.3">
      <c r="A16" s="255">
        <v>12</v>
      </c>
      <c r="B16" s="248" t="s">
        <v>379</v>
      </c>
      <c r="C16" s="256" t="s">
        <v>541</v>
      </c>
      <c r="D16" s="161"/>
      <c r="E16" s="768" t="s">
        <v>549</v>
      </c>
      <c r="F16" s="769"/>
      <c r="G16" s="769"/>
    </row>
    <row r="17" spans="1:18" x14ac:dyDescent="0.3">
      <c r="A17" s="255">
        <v>13</v>
      </c>
      <c r="B17" s="248" t="s">
        <v>380</v>
      </c>
      <c r="C17" s="257"/>
      <c r="D17" s="161"/>
    </row>
    <row r="18" spans="1:18" ht="16.2" thickBot="1" x14ac:dyDescent="0.35">
      <c r="A18" s="258">
        <v>14</v>
      </c>
      <c r="B18" s="259" t="s">
        <v>381</v>
      </c>
      <c r="C18" s="260"/>
      <c r="D18" s="161"/>
      <c r="E18" s="2" t="s">
        <v>550</v>
      </c>
    </row>
    <row r="19" spans="1:18" ht="15.6" customHeight="1" x14ac:dyDescent="0.3">
      <c r="E19" s="769" t="s">
        <v>551</v>
      </c>
      <c r="F19" s="769"/>
      <c r="G19" s="769"/>
      <c r="H19" s="769"/>
      <c r="I19" s="769"/>
      <c r="J19" s="769"/>
      <c r="K19" s="769"/>
      <c r="L19" s="769"/>
      <c r="M19" s="769"/>
      <c r="N19" s="769"/>
      <c r="O19" s="769"/>
    </row>
    <row r="20" spans="1:18" ht="16.2" thickBot="1" x14ac:dyDescent="0.35">
      <c r="E20" s="769"/>
      <c r="F20" s="769"/>
      <c r="G20" s="769"/>
      <c r="H20" s="769"/>
      <c r="I20" s="769"/>
      <c r="J20" s="769"/>
      <c r="K20" s="769"/>
      <c r="L20" s="769"/>
      <c r="M20" s="769"/>
      <c r="N20" s="769"/>
      <c r="O20" s="769"/>
    </row>
    <row r="21" spans="1:18" ht="17.399999999999999" x14ac:dyDescent="0.3">
      <c r="A21" s="758" t="s">
        <v>319</v>
      </c>
      <c r="B21" s="759"/>
      <c r="C21" s="760"/>
    </row>
    <row r="22" spans="1:18" ht="17.399999999999999" x14ac:dyDescent="0.3">
      <c r="A22" s="714">
        <v>1</v>
      </c>
      <c r="B22" s="275" t="s">
        <v>473</v>
      </c>
      <c r="C22" s="715"/>
    </row>
    <row r="23" spans="1:18" ht="17.399999999999999" x14ac:dyDescent="0.3">
      <c r="A23" s="714">
        <v>2</v>
      </c>
      <c r="B23" s="275" t="s">
        <v>323</v>
      </c>
      <c r="C23" s="715"/>
      <c r="E23" s="764" t="s">
        <v>552</v>
      </c>
      <c r="F23" s="764"/>
      <c r="G23" s="764"/>
      <c r="H23" s="764"/>
      <c r="I23" s="764"/>
      <c r="J23" s="764"/>
      <c r="K23" s="764"/>
      <c r="L23" s="764"/>
      <c r="M23" s="764"/>
      <c r="N23" s="764"/>
      <c r="O23" s="764"/>
      <c r="P23" s="764"/>
      <c r="Q23" s="764"/>
      <c r="R23" s="764"/>
    </row>
    <row r="24" spans="1:18" x14ac:dyDescent="0.3">
      <c r="A24" s="252">
        <v>3</v>
      </c>
      <c r="B24" s="25" t="s">
        <v>382</v>
      </c>
      <c r="C24" s="253"/>
      <c r="E24" s="764"/>
      <c r="F24" s="764"/>
      <c r="G24" s="764"/>
      <c r="H24" s="764"/>
      <c r="I24" s="764"/>
      <c r="J24" s="764"/>
      <c r="K24" s="764"/>
      <c r="L24" s="764"/>
      <c r="M24" s="764"/>
      <c r="N24" s="764"/>
      <c r="O24" s="764"/>
      <c r="P24" s="764"/>
      <c r="Q24" s="764"/>
      <c r="R24" s="764"/>
    </row>
    <row r="25" spans="1:18" x14ac:dyDescent="0.3">
      <c r="A25" s="252">
        <v>4</v>
      </c>
      <c r="B25" s="25" t="s">
        <v>383</v>
      </c>
      <c r="C25" s="254"/>
      <c r="E25" s="764"/>
      <c r="F25" s="764"/>
      <c r="G25" s="764"/>
      <c r="H25" s="764"/>
      <c r="I25" s="764"/>
      <c r="J25" s="764"/>
      <c r="K25" s="764"/>
      <c r="L25" s="764"/>
      <c r="M25" s="764"/>
      <c r="N25" s="764"/>
      <c r="O25" s="764"/>
      <c r="P25" s="764"/>
      <c r="Q25" s="764"/>
      <c r="R25" s="764"/>
    </row>
    <row r="26" spans="1:18" ht="31.2" x14ac:dyDescent="0.3">
      <c r="A26" s="252">
        <v>5</v>
      </c>
      <c r="B26" s="155" t="s">
        <v>476</v>
      </c>
      <c r="C26" s="253"/>
    </row>
    <row r="27" spans="1:18" ht="17.25" customHeight="1" x14ac:dyDescent="0.3">
      <c r="A27" s="252">
        <v>6</v>
      </c>
      <c r="B27" s="155" t="s">
        <v>475</v>
      </c>
      <c r="C27" s="253"/>
    </row>
    <row r="28" spans="1:18" x14ac:dyDescent="0.3">
      <c r="A28" s="252">
        <v>7</v>
      </c>
      <c r="B28" s="25" t="s">
        <v>384</v>
      </c>
      <c r="C28" s="254"/>
    </row>
    <row r="29" spans="1:18" x14ac:dyDescent="0.3">
      <c r="A29" s="252">
        <v>8</v>
      </c>
      <c r="B29" s="25" t="s">
        <v>477</v>
      </c>
      <c r="C29" s="254"/>
    </row>
    <row r="30" spans="1:18" x14ac:dyDescent="0.3">
      <c r="A30" s="252">
        <v>9</v>
      </c>
      <c r="B30" s="25" t="s">
        <v>474</v>
      </c>
      <c r="C30" s="254"/>
    </row>
    <row r="31" spans="1:18" x14ac:dyDescent="0.3">
      <c r="A31" s="756">
        <v>10</v>
      </c>
      <c r="B31" s="25" t="s">
        <v>385</v>
      </c>
      <c r="C31" s="254"/>
    </row>
    <row r="32" spans="1:18" x14ac:dyDescent="0.3">
      <c r="A32" s="757"/>
      <c r="B32" s="155" t="s">
        <v>478</v>
      </c>
      <c r="C32" s="254"/>
    </row>
    <row r="33" spans="1:3" x14ac:dyDescent="0.3">
      <c r="A33" s="716">
        <v>11</v>
      </c>
      <c r="B33" s="155" t="s">
        <v>481</v>
      </c>
      <c r="C33" s="254"/>
    </row>
    <row r="34" spans="1:3" x14ac:dyDescent="0.3">
      <c r="A34" s="381">
        <v>12</v>
      </c>
      <c r="B34" s="262" t="s">
        <v>480</v>
      </c>
      <c r="C34" s="382"/>
    </row>
    <row r="35" spans="1:3" x14ac:dyDescent="0.3">
      <c r="A35" s="392">
        <v>13</v>
      </c>
      <c r="B35" s="282" t="s">
        <v>479</v>
      </c>
      <c r="C35" s="473"/>
    </row>
    <row r="36" spans="1:3" x14ac:dyDescent="0.3">
      <c r="A36" s="392">
        <v>14</v>
      </c>
      <c r="B36" s="282" t="s">
        <v>482</v>
      </c>
      <c r="C36" s="473"/>
    </row>
    <row r="37" spans="1:3" ht="31.8" thickBot="1" x14ac:dyDescent="0.35">
      <c r="A37" s="710">
        <v>15</v>
      </c>
      <c r="B37" s="711" t="s">
        <v>484</v>
      </c>
      <c r="C37" s="712"/>
    </row>
    <row r="38" spans="1:3" x14ac:dyDescent="0.3">
      <c r="B38" s="713"/>
    </row>
    <row r="39" spans="1:3" ht="16.2" thickBot="1" x14ac:dyDescent="0.35"/>
    <row r="40" spans="1:3" ht="17.399999999999999" x14ac:dyDescent="0.3">
      <c r="A40" s="758" t="s">
        <v>517</v>
      </c>
      <c r="B40" s="759"/>
      <c r="C40" s="760"/>
    </row>
    <row r="41" spans="1:3" ht="46.8" x14ac:dyDescent="0.3">
      <c r="A41" s="761">
        <v>1</v>
      </c>
      <c r="B41" s="291" t="s">
        <v>518</v>
      </c>
      <c r="C41" s="473"/>
    </row>
    <row r="42" spans="1:3" x14ac:dyDescent="0.3">
      <c r="A42" s="762"/>
      <c r="B42" s="282" t="s">
        <v>519</v>
      </c>
      <c r="C42" s="708">
        <v>0.14000000000000001</v>
      </c>
    </row>
    <row r="43" spans="1:3" ht="31.2" x14ac:dyDescent="0.3">
      <c r="A43" s="709">
        <v>2</v>
      </c>
      <c r="B43" s="324" t="s">
        <v>516</v>
      </c>
      <c r="C43" s="473"/>
    </row>
    <row r="44" spans="1:3" ht="31.8" thickBot="1" x14ac:dyDescent="0.35">
      <c r="A44" s="710">
        <v>3</v>
      </c>
      <c r="B44" s="711" t="s">
        <v>534</v>
      </c>
      <c r="C44" s="712"/>
    </row>
  </sheetData>
  <mergeCells count="11">
    <mergeCell ref="A3:C3"/>
    <mergeCell ref="A31:A32"/>
    <mergeCell ref="A40:C40"/>
    <mergeCell ref="A41:A42"/>
    <mergeCell ref="E11:H11"/>
    <mergeCell ref="E23:R25"/>
    <mergeCell ref="I11:L11"/>
    <mergeCell ref="A11:A12"/>
    <mergeCell ref="A21:C21"/>
    <mergeCell ref="E16:G16"/>
    <mergeCell ref="E19:O20"/>
  </mergeCells>
  <hyperlinks>
    <hyperlink ref="E5" r:id="rId1" xr:uid="{21F1C208-5FA8-4CE7-808D-5F141A8BCC01}"/>
    <hyperlink ref="E11" r:id="rId2" xr:uid="{7BD08D31-2525-4199-884A-DA0593B43EEA}"/>
    <hyperlink ref="I11" r:id="rId3" xr:uid="{55D8D1D9-C6AD-4EA5-8895-0B6FDA4B3D28}"/>
  </hyperlinks>
  <pageMargins left="0.7" right="0.7" top="0.75" bottom="0.75" header="0.3" footer="0.3"/>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532B3E-9F4D-4362-8721-B91F90CC7440}">
  <sheetPr>
    <tabColor theme="2" tint="-9.9978637043366805E-2"/>
  </sheetPr>
  <dimension ref="A3:IG157"/>
  <sheetViews>
    <sheetView showGridLines="0" zoomScale="96" zoomScaleNormal="102" workbookViewId="0">
      <pane xSplit="1" ySplit="3" topLeftCell="D100" activePane="bottomRight" state="frozen"/>
      <selection pane="topRight" activeCell="B1" sqref="B1"/>
      <selection pane="bottomLeft" activeCell="A4" sqref="A4"/>
      <selection pane="bottomRight" activeCell="J116" sqref="J116"/>
    </sheetView>
  </sheetViews>
  <sheetFormatPr defaultColWidth="9.21875" defaultRowHeight="15.6" x14ac:dyDescent="0.3"/>
  <cols>
    <col min="1" max="1" width="53.77734375" style="3" bestFit="1" customWidth="1"/>
    <col min="2" max="2" width="14.77734375" style="3" bestFit="1" customWidth="1"/>
    <col min="3" max="6" width="14.21875" style="3" bestFit="1" customWidth="1"/>
    <col min="7" max="7" width="13.77734375" style="132" bestFit="1" customWidth="1"/>
    <col min="8" max="8" width="16" style="35" customWidth="1"/>
    <col min="9" max="9" width="18.21875" style="3" customWidth="1"/>
    <col min="10" max="13" width="14.21875" style="3" bestFit="1" customWidth="1"/>
    <col min="14" max="14" width="9.21875" style="3"/>
    <col min="15" max="15" width="9.5546875" style="3" bestFit="1" customWidth="1"/>
    <col min="16" max="16" width="11.77734375" style="3" bestFit="1" customWidth="1"/>
    <col min="17" max="17" width="20.6640625" style="3" bestFit="1" customWidth="1"/>
    <col min="18" max="18" width="10.77734375" style="3" customWidth="1"/>
    <col min="19" max="19" width="7" style="3" bestFit="1" customWidth="1"/>
    <col min="20" max="16384" width="9.21875" style="3"/>
  </cols>
  <sheetData>
    <row r="3" spans="1:98" ht="18" thickBot="1" x14ac:dyDescent="0.35">
      <c r="A3" s="36" t="s">
        <v>135</v>
      </c>
      <c r="B3" s="37">
        <v>2018</v>
      </c>
      <c r="C3" s="37">
        <v>2019</v>
      </c>
      <c r="D3" s="37">
        <v>2020</v>
      </c>
      <c r="E3" s="37">
        <v>2021</v>
      </c>
      <c r="F3" s="37">
        <v>2022</v>
      </c>
      <c r="G3" s="770" t="s">
        <v>224</v>
      </c>
      <c r="H3" s="770"/>
      <c r="I3" s="37">
        <v>2023</v>
      </c>
      <c r="J3" s="37">
        <v>2024</v>
      </c>
      <c r="K3" s="37">
        <v>2025</v>
      </c>
      <c r="L3" s="37">
        <v>2026</v>
      </c>
      <c r="M3" s="38">
        <v>2027</v>
      </c>
    </row>
    <row r="4" spans="1:98" ht="23.4" thickBot="1" x14ac:dyDescent="0.45">
      <c r="A4" s="774" t="s">
        <v>225</v>
      </c>
      <c r="B4" s="775"/>
      <c r="C4" s="775"/>
      <c r="D4" s="775"/>
      <c r="E4" s="775"/>
      <c r="F4" s="775"/>
      <c r="G4" s="775"/>
      <c r="H4" s="775"/>
      <c r="I4" s="775"/>
      <c r="J4" s="775"/>
      <c r="K4" s="775"/>
      <c r="L4" s="775"/>
      <c r="M4" s="776"/>
    </row>
    <row r="5" spans="1:98" s="34" customFormat="1" ht="21" thickBot="1" x14ac:dyDescent="0.4">
      <c r="A5" s="513" t="s">
        <v>226</v>
      </c>
      <c r="B5" s="503"/>
      <c r="C5" s="503"/>
      <c r="D5" s="503"/>
      <c r="E5" s="503"/>
      <c r="F5" s="503"/>
      <c r="G5" s="461"/>
      <c r="H5" s="461"/>
      <c r="I5" s="503"/>
      <c r="J5" s="503"/>
      <c r="K5" s="503"/>
      <c r="L5" s="503"/>
      <c r="M5" s="504"/>
      <c r="N5" s="3"/>
      <c r="O5" s="3"/>
      <c r="P5" s="164" t="s">
        <v>227</v>
      </c>
      <c r="Q5" s="165" t="s">
        <v>228</v>
      </c>
      <c r="R5" s="163"/>
      <c r="S5" s="3"/>
      <c r="T5" s="3"/>
      <c r="U5" s="3"/>
      <c r="V5" s="3"/>
      <c r="W5" s="3"/>
      <c r="X5" s="3"/>
      <c r="Y5" s="3"/>
      <c r="Z5" s="3"/>
      <c r="AA5" s="3"/>
      <c r="AB5" s="3"/>
      <c r="AC5" s="3"/>
      <c r="AD5" s="3"/>
      <c r="AE5" s="3"/>
      <c r="AF5" s="3"/>
      <c r="AG5" s="3"/>
      <c r="AH5" s="3"/>
      <c r="AI5" s="3"/>
      <c r="AJ5" s="3"/>
      <c r="AK5" s="3"/>
      <c r="AL5" s="3"/>
      <c r="AM5" s="3"/>
      <c r="AN5" s="3"/>
      <c r="AO5" s="3"/>
      <c r="AP5" s="3"/>
      <c r="AQ5" s="3"/>
      <c r="AR5" s="3"/>
      <c r="AS5" s="3"/>
      <c r="AT5" s="3"/>
      <c r="AU5" s="3"/>
      <c r="AV5" s="3"/>
      <c r="AW5" s="3"/>
      <c r="AX5" s="3"/>
      <c r="AY5" s="3"/>
      <c r="AZ5" s="3"/>
      <c r="BA5" s="3"/>
      <c r="BB5" s="3"/>
      <c r="BC5" s="3"/>
      <c r="BD5" s="3"/>
      <c r="BE5" s="3"/>
      <c r="BF5" s="3"/>
      <c r="BG5" s="3"/>
      <c r="BH5" s="3"/>
      <c r="BI5" s="3"/>
      <c r="BJ5" s="3"/>
      <c r="BK5" s="3"/>
      <c r="BL5" s="3"/>
      <c r="BM5" s="3"/>
      <c r="BN5" s="3"/>
      <c r="BO5" s="3"/>
      <c r="BP5" s="3"/>
      <c r="BQ5" s="3"/>
      <c r="BR5" s="3"/>
      <c r="BS5" s="3"/>
      <c r="BT5" s="3"/>
      <c r="BU5" s="3"/>
      <c r="BV5" s="3"/>
      <c r="BW5" s="3"/>
      <c r="BX5" s="3"/>
      <c r="BY5" s="3"/>
      <c r="BZ5" s="3"/>
      <c r="CA5" s="3"/>
      <c r="CB5" s="3"/>
      <c r="CC5" s="3"/>
      <c r="CD5" s="3"/>
      <c r="CE5" s="3"/>
      <c r="CF5" s="3"/>
      <c r="CG5" s="3"/>
      <c r="CH5" s="3"/>
      <c r="CI5" s="3"/>
      <c r="CJ5" s="3"/>
      <c r="CK5" s="3"/>
      <c r="CL5" s="3"/>
      <c r="CM5" s="3"/>
      <c r="CN5" s="3"/>
      <c r="CO5" s="3"/>
      <c r="CP5" s="3"/>
      <c r="CQ5" s="3"/>
      <c r="CR5" s="3"/>
      <c r="CS5" s="3"/>
      <c r="CT5" s="3"/>
    </row>
    <row r="6" spans="1:98" ht="17.399999999999999" x14ac:dyDescent="0.3">
      <c r="A6" s="525" t="s">
        <v>229</v>
      </c>
      <c r="B6" s="52"/>
      <c r="C6" s="52"/>
      <c r="D6" s="52"/>
      <c r="E6" s="52"/>
      <c r="F6" s="52"/>
      <c r="G6" s="121"/>
      <c r="H6" s="121"/>
      <c r="I6" s="52"/>
      <c r="J6" s="52"/>
      <c r="K6" s="52"/>
      <c r="L6" s="52"/>
      <c r="M6" s="506"/>
      <c r="P6" s="45" t="s">
        <v>194</v>
      </c>
      <c r="Q6" s="46" t="s">
        <v>540</v>
      </c>
    </row>
    <row r="7" spans="1:98" s="34" customFormat="1" x14ac:dyDescent="0.3">
      <c r="A7" s="517" t="s">
        <v>230</v>
      </c>
      <c r="B7" s="191">
        <f>Case!B7</f>
        <v>59729</v>
      </c>
      <c r="C7" s="191">
        <f>Case!C7</f>
        <v>110164</v>
      </c>
      <c r="D7" s="191">
        <f>Case!D7</f>
        <v>124982</v>
      </c>
      <c r="E7" s="191">
        <f>Case!E7</f>
        <v>121693</v>
      </c>
      <c r="F7" s="191">
        <f>Case!F7</f>
        <v>166911</v>
      </c>
      <c r="G7" s="121"/>
      <c r="H7" s="121"/>
      <c r="I7" s="55">
        <f>I8+I10</f>
        <v>203862.96168789867</v>
      </c>
      <c r="J7" s="55">
        <f>J8+J10</f>
        <v>249892.97183444386</v>
      </c>
      <c r="K7" s="55">
        <f>K8+K10</f>
        <v>307371.67963026324</v>
      </c>
      <c r="L7" s="55">
        <f>L8+L10</f>
        <v>379308.6116352987</v>
      </c>
      <c r="M7" s="526">
        <f>M8+M10</f>
        <v>469526.97324550949</v>
      </c>
      <c r="N7" s="3"/>
      <c r="O7" s="3"/>
      <c r="P7" s="47" t="s">
        <v>231</v>
      </c>
      <c r="Q7" s="48">
        <v>0.1045</v>
      </c>
      <c r="R7"/>
      <c r="S7" s="3"/>
      <c r="T7" s="3"/>
      <c r="U7" s="3"/>
      <c r="V7" s="3"/>
      <c r="W7" s="3"/>
      <c r="X7" s="3"/>
      <c r="Y7" s="3"/>
      <c r="Z7" s="3"/>
      <c r="AA7" s="3"/>
      <c r="AB7" s="3"/>
      <c r="AC7" s="3"/>
      <c r="AD7" s="3"/>
      <c r="AE7" s="3"/>
      <c r="AF7" s="3"/>
      <c r="AG7" s="3"/>
      <c r="AH7" s="3"/>
      <c r="AI7" s="3"/>
      <c r="AJ7" s="3"/>
      <c r="AK7" s="3"/>
      <c r="AL7" s="3"/>
      <c r="AM7" s="3"/>
      <c r="AN7" s="3"/>
      <c r="AO7" s="3"/>
      <c r="AP7" s="3"/>
      <c r="AQ7" s="3"/>
      <c r="AR7" s="3"/>
      <c r="AS7" s="3"/>
      <c r="AT7" s="3"/>
      <c r="AU7" s="3"/>
      <c r="AV7" s="3"/>
      <c r="AW7" s="3"/>
      <c r="AX7" s="3"/>
      <c r="AY7" s="3"/>
      <c r="AZ7" s="3"/>
      <c r="BA7" s="3"/>
      <c r="BB7" s="3"/>
      <c r="BC7" s="3"/>
      <c r="BD7" s="3"/>
      <c r="BE7" s="3"/>
      <c r="BF7" s="3"/>
      <c r="BG7" s="3"/>
      <c r="BH7" s="3"/>
      <c r="BI7" s="3"/>
      <c r="BJ7" s="3"/>
      <c r="BK7" s="3"/>
      <c r="BL7" s="3"/>
      <c r="BM7" s="3"/>
      <c r="BN7" s="3"/>
      <c r="BO7" s="3"/>
      <c r="BP7" s="3"/>
      <c r="BQ7" s="3"/>
      <c r="BR7" s="3"/>
      <c r="BS7" s="3"/>
      <c r="BT7" s="3"/>
      <c r="BU7" s="3"/>
      <c r="BV7" s="3"/>
      <c r="BW7" s="3"/>
      <c r="BX7" s="3"/>
      <c r="BY7" s="3"/>
      <c r="BZ7" s="3"/>
      <c r="CA7" s="3"/>
      <c r="CB7" s="3"/>
      <c r="CC7" s="3"/>
      <c r="CD7" s="3"/>
      <c r="CE7" s="3"/>
      <c r="CF7" s="3"/>
      <c r="CG7" s="3"/>
      <c r="CH7" s="3"/>
      <c r="CI7" s="3"/>
      <c r="CJ7" s="3"/>
      <c r="CK7" s="3"/>
      <c r="CL7" s="3"/>
      <c r="CM7" s="3"/>
      <c r="CN7" s="3"/>
      <c r="CO7" s="3"/>
      <c r="CP7" s="3"/>
      <c r="CQ7" s="3"/>
      <c r="CR7" s="3"/>
      <c r="CS7" s="3"/>
      <c r="CT7" s="3"/>
    </row>
    <row r="8" spans="1:98" x14ac:dyDescent="0.3">
      <c r="A8" s="507" t="s">
        <v>232</v>
      </c>
      <c r="B8" s="54">
        <f>B7*(1-B59)</f>
        <v>41472.367378832838</v>
      </c>
      <c r="C8" s="54">
        <f>C7*(1-C59)</f>
        <v>63980.156570178056</v>
      </c>
      <c r="D8" s="54">
        <f>D7*(1-D59)</f>
        <v>74620.880597574404</v>
      </c>
      <c r="E8" s="54">
        <f>E7*(1-E59)</f>
        <v>78291.766740205916</v>
      </c>
      <c r="F8" s="54">
        <f>F7*(1-F59)</f>
        <v>105727.96126542096</v>
      </c>
      <c r="G8" s="121"/>
      <c r="H8" s="121"/>
      <c r="I8" s="54">
        <f>F8*(1+$G$9)</f>
        <v>135032.04311149727</v>
      </c>
      <c r="J8" s="54">
        <f>I8*(1+$G$9)</f>
        <v>172458.18843599226</v>
      </c>
      <c r="K8" s="54">
        <f>J8*(1+$G$9)</f>
        <v>220257.54830700517</v>
      </c>
      <c r="L8" s="54">
        <f>K8*(1+$G$9)</f>
        <v>281305.21389663342</v>
      </c>
      <c r="M8" s="527">
        <f>L8*(1+$G$9)</f>
        <v>359273.15078951104</v>
      </c>
      <c r="P8" s="47" t="s">
        <v>233</v>
      </c>
      <c r="Q8" s="48">
        <v>9.6000000000000002E-2</v>
      </c>
    </row>
    <row r="9" spans="1:98" ht="16.2" thickBot="1" x14ac:dyDescent="0.35">
      <c r="A9" s="507" t="s">
        <v>234</v>
      </c>
      <c r="B9" s="52"/>
      <c r="C9" s="192">
        <f>(C8/B8)-1</f>
        <v>0.54271773264703982</v>
      </c>
      <c r="D9" s="192">
        <f>(D8/C8)-1</f>
        <v>0.16631287883337431</v>
      </c>
      <c r="E9" s="192">
        <f>(E8/D8)-1</f>
        <v>4.9193819655229731E-2</v>
      </c>
      <c r="F9" s="192">
        <f>(F8/E8)-1</f>
        <v>0.35043524584463714</v>
      </c>
      <c r="G9" s="124">
        <f>AVERAGE(C9:F9)</f>
        <v>0.27716491924507025</v>
      </c>
      <c r="H9" s="124"/>
      <c r="I9" s="54"/>
      <c r="J9" s="54"/>
      <c r="K9" s="54"/>
      <c r="L9" s="54"/>
      <c r="M9" s="527"/>
      <c r="P9" s="49" t="s">
        <v>228</v>
      </c>
      <c r="Q9" s="50">
        <v>8.7499999999999994E-2</v>
      </c>
    </row>
    <row r="10" spans="1:98" x14ac:dyDescent="0.3">
      <c r="A10" s="507" t="s">
        <v>235</v>
      </c>
      <c r="B10" s="54">
        <f>B7*B59</f>
        <v>18256.632621167162</v>
      </c>
      <c r="C10" s="54">
        <f>C7*C59</f>
        <v>46183.843429821944</v>
      </c>
      <c r="D10" s="54">
        <f>D7*D59</f>
        <v>50361.119402425596</v>
      </c>
      <c r="E10" s="54">
        <f>E7*E59</f>
        <v>43401.233259794091</v>
      </c>
      <c r="F10" s="54">
        <f>F7*F59</f>
        <v>61183.03873457903</v>
      </c>
      <c r="G10" s="124">
        <f>12.5%</f>
        <v>0.125</v>
      </c>
      <c r="H10" s="124"/>
      <c r="I10" s="54">
        <f>F10*(1+$G$10)</f>
        <v>68830.918576401411</v>
      </c>
      <c r="J10" s="54">
        <f>I10*(1+$G$10)</f>
        <v>77434.783398451589</v>
      </c>
      <c r="K10" s="54">
        <f>J10*(1+$G$10)</f>
        <v>87114.131323258043</v>
      </c>
      <c r="L10" s="54">
        <f>K10*(1+$G$10)</f>
        <v>98003.397738665299</v>
      </c>
      <c r="M10" s="527">
        <f>L10*(1+$G$10)</f>
        <v>110253.82245599847</v>
      </c>
    </row>
    <row r="11" spans="1:98" s="41" customFormat="1" x14ac:dyDescent="0.3">
      <c r="A11" s="517" t="s">
        <v>236</v>
      </c>
      <c r="B11" s="55">
        <f>Case!B8</f>
        <v>132632</v>
      </c>
      <c r="C11" s="55">
        <f>Case!C8</f>
        <v>145198</v>
      </c>
      <c r="D11" s="55">
        <f>Case!D8</f>
        <v>126731</v>
      </c>
      <c r="E11" s="55">
        <f>Case!E8</f>
        <v>122320</v>
      </c>
      <c r="F11" s="55">
        <f>Case!F8</f>
        <v>181859</v>
      </c>
      <c r="G11" s="124">
        <v>3.6999999999999998E-2</v>
      </c>
      <c r="H11" s="124"/>
      <c r="I11" s="55">
        <f>F11*(1+$G$11)</f>
        <v>188587.783</v>
      </c>
      <c r="J11" s="55">
        <f>I11*(1+$G$11)</f>
        <v>195565.53097099997</v>
      </c>
      <c r="K11" s="55">
        <f>J11*(1+$G$11)</f>
        <v>202801.45561692695</v>
      </c>
      <c r="L11" s="55">
        <f>K11*(1+$G$11)</f>
        <v>210305.10947475323</v>
      </c>
      <c r="M11" s="526">
        <f>L11*(1+$G$11)</f>
        <v>218086.39852531909</v>
      </c>
      <c r="N11" s="35"/>
      <c r="O11" s="35"/>
      <c r="P11" s="35"/>
      <c r="Q11" s="35"/>
      <c r="R11" s="35"/>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row>
    <row r="12" spans="1:98" s="41" customFormat="1" x14ac:dyDescent="0.3">
      <c r="A12" s="517" t="s">
        <v>237</v>
      </c>
      <c r="B12" s="55">
        <f>Case!B9</f>
        <v>34746</v>
      </c>
      <c r="C12" s="55">
        <f>Case!C9</f>
        <v>16653</v>
      </c>
      <c r="D12" s="55">
        <f>Case!D9</f>
        <v>15647</v>
      </c>
      <c r="E12" s="55">
        <f>Case!E9</f>
        <v>29597</v>
      </c>
      <c r="F12" s="55">
        <f>Case!F9</f>
        <v>27895</v>
      </c>
      <c r="G12" s="124">
        <f>AVERAGE(C13:F13)</f>
        <v>6.3226882809447021E-2</v>
      </c>
      <c r="H12" s="193"/>
      <c r="I12" s="55">
        <f>F12*(1+$G$12)</f>
        <v>29658.713895969526</v>
      </c>
      <c r="J12" s="55">
        <f>I12*(1+$G$12)</f>
        <v>31533.941923748913</v>
      </c>
      <c r="K12" s="55">
        <f t="shared" ref="K12:L12" si="0">J12*(1+$G$12)</f>
        <v>33527.734774281693</v>
      </c>
      <c r="L12" s="55">
        <f t="shared" si="0"/>
        <v>35647.588931721424</v>
      </c>
      <c r="M12" s="526">
        <f>L12*(1+$G$12)</f>
        <v>37901.474859546717</v>
      </c>
      <c r="N12" s="35"/>
      <c r="O12" s="35"/>
      <c r="P12" s="35"/>
      <c r="Q12" s="35"/>
      <c r="R12" s="35"/>
      <c r="S12" s="35"/>
      <c r="T12" s="35"/>
      <c r="U12" s="35"/>
      <c r="V12" s="35"/>
      <c r="W12" s="35"/>
      <c r="X12" s="35"/>
      <c r="Y12" s="35"/>
      <c r="Z12" s="35"/>
      <c r="AA12" s="35"/>
      <c r="AB12" s="35"/>
      <c r="AC12" s="35"/>
      <c r="AD12" s="35"/>
      <c r="AE12" s="35"/>
      <c r="AF12" s="35"/>
      <c r="AG12" s="35"/>
      <c r="AH12" s="35"/>
      <c r="AI12" s="35"/>
      <c r="AJ12" s="35"/>
      <c r="AK12" s="35"/>
      <c r="AL12" s="35"/>
      <c r="AM12" s="35"/>
      <c r="AN12" s="35"/>
      <c r="AO12" s="35"/>
      <c r="AP12" s="35"/>
      <c r="AQ12" s="35"/>
      <c r="AR12" s="35"/>
      <c r="AS12" s="35"/>
      <c r="AT12" s="35"/>
      <c r="AU12" s="35"/>
      <c r="AV12" s="35"/>
      <c r="AW12" s="35"/>
      <c r="AX12" s="35"/>
      <c r="AY12" s="35"/>
      <c r="AZ12" s="35"/>
      <c r="BA12" s="35"/>
      <c r="BB12" s="35"/>
      <c r="BC12" s="35"/>
      <c r="BD12" s="35"/>
      <c r="BE12" s="35"/>
      <c r="BF12" s="35"/>
      <c r="BG12" s="35"/>
      <c r="BH12" s="35"/>
      <c r="BI12" s="35"/>
      <c r="BJ12" s="35"/>
      <c r="BK12" s="35"/>
      <c r="BL12" s="35"/>
      <c r="BM12" s="35"/>
      <c r="BN12" s="35"/>
      <c r="BO12" s="35"/>
      <c r="BP12" s="35"/>
      <c r="BQ12" s="35"/>
      <c r="BR12" s="35"/>
      <c r="BS12" s="35"/>
      <c r="BT12" s="35"/>
      <c r="BU12" s="35"/>
      <c r="BV12" s="35"/>
      <c r="BW12" s="35"/>
      <c r="BX12" s="35"/>
      <c r="BY12" s="35"/>
      <c r="BZ12" s="35"/>
      <c r="CA12" s="35"/>
      <c r="CB12" s="35"/>
      <c r="CC12" s="35"/>
      <c r="CD12" s="35"/>
      <c r="CE12" s="35"/>
      <c r="CF12" s="35"/>
      <c r="CG12" s="35"/>
      <c r="CH12" s="35"/>
      <c r="CI12" s="35"/>
      <c r="CJ12" s="35"/>
      <c r="CK12" s="35"/>
      <c r="CL12" s="35"/>
      <c r="CM12" s="35"/>
      <c r="CN12" s="35"/>
      <c r="CO12" s="35"/>
      <c r="CP12" s="35"/>
      <c r="CQ12" s="35"/>
      <c r="CR12" s="35"/>
      <c r="CS12" s="35"/>
      <c r="CT12" s="35"/>
    </row>
    <row r="13" spans="1:98" x14ac:dyDescent="0.3">
      <c r="A13" s="507" t="s">
        <v>238</v>
      </c>
      <c r="B13" s="52"/>
      <c r="C13" s="194">
        <f>C12/B12-1</f>
        <v>-0.52072180970471416</v>
      </c>
      <c r="D13" s="194">
        <f>D12/C12-1</f>
        <v>-6.0409535819371918E-2</v>
      </c>
      <c r="E13" s="194">
        <f t="shared" ref="E13:F13" si="1">E12/D12-1</f>
        <v>0.89154470505528227</v>
      </c>
      <c r="F13" s="194">
        <f t="shared" si="1"/>
        <v>-5.7505828293408112E-2</v>
      </c>
      <c r="G13" s="195"/>
      <c r="H13" s="196"/>
      <c r="I13" s="54"/>
      <c r="J13" s="54"/>
      <c r="K13" s="54"/>
      <c r="L13" s="54"/>
      <c r="M13" s="527"/>
    </row>
    <row r="14" spans="1:98" s="41" customFormat="1" x14ac:dyDescent="0.3">
      <c r="A14" s="517" t="s">
        <v>239</v>
      </c>
      <c r="B14" s="55">
        <f>Case!B10</f>
        <v>9067</v>
      </c>
      <c r="C14" s="55">
        <f>Case!C10</f>
        <v>9930</v>
      </c>
      <c r="D14" s="55">
        <f>Case!D10</f>
        <v>9752</v>
      </c>
      <c r="E14" s="55">
        <f>Case!E10</f>
        <v>8432</v>
      </c>
      <c r="F14" s="55">
        <f>Case!F10</f>
        <v>11408</v>
      </c>
      <c r="G14" s="124">
        <f>AVERAGE(C15:F15)</f>
        <v>7.3709793124496464E-2</v>
      </c>
      <c r="H14" s="124"/>
      <c r="I14" s="55">
        <f>F14*(1+$G$14)</f>
        <v>12248.881319964257</v>
      </c>
      <c r="J14" s="55">
        <f>I14*(1+$G$14)</f>
        <v>13151.743828065333</v>
      </c>
      <c r="K14" s="55">
        <f>J14*(1+$G$14)</f>
        <v>14121.156144858403</v>
      </c>
      <c r="L14" s="55">
        <f>K14*(1+$G$14)</f>
        <v>15162.023642974629</v>
      </c>
      <c r="M14" s="526">
        <f>L14*(1+$G$14)</f>
        <v>16279.613269047015</v>
      </c>
      <c r="N14" s="35"/>
      <c r="O14" s="35"/>
      <c r="P14" s="35"/>
      <c r="Q14" s="35"/>
      <c r="R14" s="35"/>
      <c r="S14" s="35"/>
      <c r="T14" s="35"/>
      <c r="U14" s="35"/>
      <c r="V14" s="35"/>
      <c r="W14" s="35"/>
      <c r="X14" s="35"/>
      <c r="Y14" s="35"/>
      <c r="Z14" s="35"/>
      <c r="AA14" s="35"/>
      <c r="AB14" s="35"/>
      <c r="AC14" s="35"/>
      <c r="AD14" s="35"/>
      <c r="AE14" s="35"/>
      <c r="AF14" s="35"/>
      <c r="AG14" s="35"/>
      <c r="AH14" s="35"/>
      <c r="AI14" s="35"/>
      <c r="AJ14" s="35"/>
      <c r="AK14" s="35"/>
      <c r="AL14" s="35"/>
      <c r="AM14" s="35"/>
      <c r="AN14" s="35"/>
      <c r="AO14" s="35"/>
      <c r="AP14" s="35"/>
      <c r="AQ14" s="35"/>
      <c r="AR14" s="35"/>
      <c r="AS14" s="35"/>
      <c r="AT14" s="35"/>
      <c r="AU14" s="35"/>
      <c r="AV14" s="35"/>
      <c r="AW14" s="35"/>
      <c r="AX14" s="35"/>
      <c r="AY14" s="35"/>
      <c r="AZ14" s="35"/>
      <c r="BA14" s="35"/>
      <c r="BB14" s="35"/>
      <c r="BC14" s="35"/>
      <c r="BD14" s="35"/>
      <c r="BE14" s="35"/>
      <c r="BF14" s="35"/>
      <c r="BG14" s="35"/>
      <c r="BH14" s="35"/>
      <c r="BI14" s="35"/>
      <c r="BJ14" s="35"/>
      <c r="BK14" s="35"/>
      <c r="BL14" s="35"/>
      <c r="BM14" s="35"/>
      <c r="BN14" s="35"/>
      <c r="BO14" s="35"/>
      <c r="BP14" s="35"/>
      <c r="BQ14" s="35"/>
      <c r="BR14" s="35"/>
      <c r="BS14" s="35"/>
      <c r="BT14" s="35"/>
      <c r="BU14" s="35"/>
      <c r="BV14" s="35"/>
      <c r="BW14" s="35"/>
      <c r="BX14" s="35"/>
      <c r="BY14" s="35"/>
      <c r="BZ14" s="35"/>
      <c r="CA14" s="35"/>
      <c r="CB14" s="35"/>
      <c r="CC14" s="35"/>
      <c r="CD14" s="35"/>
      <c r="CE14" s="35"/>
      <c r="CF14" s="35"/>
      <c r="CG14" s="35"/>
      <c r="CH14" s="35"/>
      <c r="CI14" s="35"/>
      <c r="CJ14" s="35"/>
      <c r="CK14" s="35"/>
      <c r="CL14" s="35"/>
      <c r="CM14" s="35"/>
      <c r="CN14" s="35"/>
      <c r="CO14" s="35"/>
      <c r="CP14" s="35"/>
      <c r="CQ14" s="35"/>
      <c r="CR14" s="35"/>
      <c r="CS14" s="35"/>
      <c r="CT14" s="35"/>
    </row>
    <row r="15" spans="1:98" x14ac:dyDescent="0.3">
      <c r="A15" s="507" t="s">
        <v>240</v>
      </c>
      <c r="B15" s="52"/>
      <c r="C15" s="197">
        <f>(C14/B14)-1</f>
        <v>9.5180324252784887E-2</v>
      </c>
      <c r="D15" s="197">
        <f>(D14/C14)-1</f>
        <v>-1.792547834843905E-2</v>
      </c>
      <c r="E15" s="197">
        <f>(E14/D14)-1</f>
        <v>-0.13535684987694829</v>
      </c>
      <c r="F15" s="197">
        <f>(F14/E14)-1</f>
        <v>0.35294117647058831</v>
      </c>
      <c r="G15" s="124"/>
      <c r="H15" s="121"/>
      <c r="I15" s="54"/>
      <c r="J15" s="54"/>
      <c r="K15" s="54"/>
      <c r="L15" s="54"/>
      <c r="M15" s="527"/>
    </row>
    <row r="16" spans="1:98" s="41" customFormat="1" x14ac:dyDescent="0.3">
      <c r="A16" s="517" t="s">
        <v>241</v>
      </c>
      <c r="B16" s="55">
        <f>Case!B11</f>
        <v>1397</v>
      </c>
      <c r="C16" s="55">
        <f>Case!C11</f>
        <v>2609</v>
      </c>
      <c r="D16" s="55">
        <f>Case!D11</f>
        <v>1696</v>
      </c>
      <c r="E16" s="55">
        <f>Case!E11</f>
        <v>1752</v>
      </c>
      <c r="F16" s="55">
        <f>Case!F11</f>
        <v>2144</v>
      </c>
      <c r="G16" s="124">
        <f>AVERAGE(C17:F17)</f>
        <v>-3.1059782181859896E-2</v>
      </c>
      <c r="H16" s="124"/>
      <c r="I16" s="55">
        <f>F16*(1+$G$16)</f>
        <v>2077.4078270020923</v>
      </c>
      <c r="J16" s="55">
        <f>I16*(1+$G$16)</f>
        <v>2012.8839923925163</v>
      </c>
      <c r="K16" s="55">
        <f t="shared" ref="K16:M16" si="2">J16*(1+$G$16)</f>
        <v>1950.3642540314522</v>
      </c>
      <c r="L16" s="55">
        <f t="shared" si="2"/>
        <v>1889.7863651259497</v>
      </c>
      <c r="M16" s="526">
        <f t="shared" si="2"/>
        <v>1831.090012254889</v>
      </c>
      <c r="N16" s="35"/>
      <c r="O16" s="35"/>
      <c r="P16" s="35"/>
      <c r="Q16" s="35"/>
      <c r="R16" s="35"/>
      <c r="S16" s="35"/>
      <c r="T16" s="35"/>
      <c r="U16" s="35"/>
      <c r="V16" s="35"/>
      <c r="W16" s="35"/>
      <c r="X16" s="35"/>
      <c r="Y16" s="35"/>
      <c r="Z16" s="35"/>
      <c r="AA16" s="35"/>
      <c r="AB16" s="35"/>
      <c r="AC16" s="35"/>
      <c r="AD16" s="35"/>
      <c r="AE16" s="35"/>
      <c r="AF16" s="35"/>
      <c r="AG16" s="35"/>
      <c r="AH16" s="35"/>
      <c r="AI16" s="35"/>
      <c r="AJ16" s="35"/>
      <c r="AK16" s="35"/>
      <c r="AL16" s="35"/>
      <c r="AM16" s="35"/>
      <c r="AN16" s="35"/>
      <c r="AO16" s="35"/>
      <c r="AP16" s="35"/>
      <c r="AQ16" s="35"/>
      <c r="AR16" s="35"/>
      <c r="AS16" s="35"/>
      <c r="AT16" s="35"/>
      <c r="AU16" s="35"/>
      <c r="AV16" s="35"/>
      <c r="AW16" s="35"/>
      <c r="AX16" s="35"/>
      <c r="AY16" s="35"/>
      <c r="AZ16" s="35"/>
      <c r="BA16" s="35"/>
      <c r="BB16" s="35"/>
      <c r="BC16" s="35"/>
      <c r="BD16" s="35"/>
      <c r="BE16" s="35"/>
      <c r="BF16" s="35"/>
      <c r="BG16" s="35"/>
      <c r="BH16" s="35"/>
      <c r="BI16" s="35"/>
      <c r="BJ16" s="35"/>
      <c r="BK16" s="35"/>
      <c r="BL16" s="35"/>
      <c r="BM16" s="35"/>
      <c r="BN16" s="35"/>
      <c r="BO16" s="35"/>
      <c r="BP16" s="35"/>
      <c r="BQ16" s="35"/>
      <c r="BR16" s="35"/>
      <c r="BS16" s="35"/>
      <c r="BT16" s="35"/>
      <c r="BU16" s="35"/>
      <c r="BV16" s="35"/>
      <c r="BW16" s="35"/>
      <c r="BX16" s="35"/>
      <c r="BY16" s="35"/>
      <c r="BZ16" s="35"/>
      <c r="CA16" s="35"/>
      <c r="CB16" s="35"/>
      <c r="CC16" s="35"/>
      <c r="CD16" s="35"/>
      <c r="CE16" s="35"/>
      <c r="CF16" s="35"/>
      <c r="CG16" s="35"/>
      <c r="CH16" s="35"/>
      <c r="CI16" s="35"/>
      <c r="CJ16" s="35"/>
      <c r="CK16" s="35"/>
      <c r="CL16" s="35"/>
      <c r="CM16" s="35"/>
      <c r="CN16" s="35"/>
      <c r="CO16" s="35"/>
      <c r="CP16" s="35"/>
      <c r="CQ16" s="35"/>
      <c r="CR16" s="35"/>
      <c r="CS16" s="35"/>
      <c r="CT16" s="35"/>
    </row>
    <row r="17" spans="1:241" x14ac:dyDescent="0.3">
      <c r="A17" s="507" t="s">
        <v>242</v>
      </c>
      <c r="B17" s="52"/>
      <c r="C17" s="198"/>
      <c r="D17" s="198">
        <f>D16/C16-1</f>
        <v>-0.34994250670755078</v>
      </c>
      <c r="E17" s="198">
        <f t="shared" ref="E17:F17" si="3">E16/D16-1</f>
        <v>3.3018867924528239E-2</v>
      </c>
      <c r="F17" s="198">
        <f t="shared" si="3"/>
        <v>0.22374429223744285</v>
      </c>
      <c r="G17" s="124"/>
      <c r="H17" s="121"/>
      <c r="I17" s="54"/>
      <c r="J17" s="54"/>
      <c r="K17" s="54"/>
      <c r="L17" s="54"/>
      <c r="M17" s="527"/>
    </row>
    <row r="18" spans="1:241" s="41" customFormat="1" x14ac:dyDescent="0.3">
      <c r="A18" s="517" t="s">
        <v>243</v>
      </c>
      <c r="B18" s="55">
        <f>Case!B13</f>
        <v>71</v>
      </c>
      <c r="C18" s="55">
        <f>Case!C13</f>
        <v>763</v>
      </c>
      <c r="D18" s="55">
        <f>Case!D13</f>
        <v>1556</v>
      </c>
      <c r="E18" s="55">
        <f>Case!E13</f>
        <v>395</v>
      </c>
      <c r="F18" s="55">
        <f>Case!F13</f>
        <v>722</v>
      </c>
      <c r="G18" s="195">
        <f>AVERAGE(B19:F19)</f>
        <v>2.369449086025867E-3</v>
      </c>
      <c r="H18" s="124"/>
      <c r="I18" s="55">
        <f ca="1">$G$18*I20</f>
        <v>1031.6677992458362</v>
      </c>
      <c r="J18" s="55">
        <f ca="1">$G$18*J20</f>
        <v>1163.3845452864105</v>
      </c>
      <c r="K18" s="55">
        <f t="shared" ref="K18:M18" ca="1" si="4">$G$18*K20</f>
        <v>1323.2168838280406</v>
      </c>
      <c r="L18" s="55">
        <f t="shared" ca="1" si="4"/>
        <v>1518.3306281255</v>
      </c>
      <c r="M18" s="526">
        <f t="shared" ca="1" si="4"/>
        <v>1757.8178197572827</v>
      </c>
      <c r="N18" s="35"/>
      <c r="O18" s="35"/>
      <c r="P18" s="35"/>
      <c r="Q18" s="35"/>
      <c r="R18" s="35"/>
      <c r="S18" s="35"/>
      <c r="T18" s="35"/>
      <c r="U18" s="35"/>
      <c r="V18" s="35"/>
      <c r="W18" s="35"/>
      <c r="X18" s="35"/>
      <c r="Y18" s="35"/>
      <c r="Z18" s="35"/>
      <c r="AA18" s="35"/>
      <c r="AB18" s="35"/>
      <c r="AC18" s="35"/>
      <c r="AD18" s="35"/>
      <c r="AE18" s="35"/>
      <c r="AF18" s="35"/>
      <c r="AG18" s="35"/>
      <c r="AH18" s="35"/>
      <c r="AI18" s="35"/>
      <c r="AJ18" s="35"/>
      <c r="AK18" s="35"/>
      <c r="AL18" s="35"/>
      <c r="AM18" s="35"/>
      <c r="AN18" s="35"/>
      <c r="AO18" s="35"/>
      <c r="AP18" s="35"/>
      <c r="AQ18" s="35"/>
      <c r="AR18" s="35"/>
      <c r="AS18" s="35"/>
      <c r="AT18" s="35"/>
      <c r="AU18" s="35"/>
      <c r="AV18" s="35"/>
      <c r="AW18" s="35"/>
      <c r="AX18" s="35"/>
      <c r="AY18" s="35"/>
      <c r="AZ18" s="35"/>
      <c r="BA18" s="35"/>
      <c r="BB18" s="35"/>
      <c r="BC18" s="35"/>
      <c r="BD18" s="35"/>
      <c r="BE18" s="35"/>
      <c r="BF18" s="35"/>
      <c r="BG18" s="35"/>
      <c r="BH18" s="35"/>
      <c r="BI18" s="35"/>
      <c r="BJ18" s="35"/>
      <c r="BK18" s="35"/>
      <c r="BL18" s="35"/>
      <c r="BM18" s="35"/>
      <c r="BN18" s="35"/>
      <c r="BO18" s="35"/>
      <c r="BP18" s="35"/>
      <c r="BQ18" s="35"/>
      <c r="BR18" s="35"/>
      <c r="BS18" s="35"/>
      <c r="BT18" s="35"/>
      <c r="BU18" s="35"/>
      <c r="BV18" s="35"/>
      <c r="BW18" s="35"/>
      <c r="BX18" s="35"/>
      <c r="BY18" s="35"/>
      <c r="BZ18" s="35"/>
      <c r="CA18" s="35"/>
      <c r="CB18" s="35"/>
      <c r="CC18" s="35"/>
      <c r="CD18" s="35"/>
      <c r="CE18" s="35"/>
      <c r="CF18" s="35"/>
      <c r="CG18" s="35"/>
      <c r="CH18" s="35"/>
      <c r="CI18" s="35"/>
      <c r="CJ18" s="35"/>
      <c r="CK18" s="35"/>
      <c r="CL18" s="35"/>
      <c r="CM18" s="35"/>
      <c r="CN18" s="35"/>
      <c r="CO18" s="35"/>
      <c r="CP18" s="35"/>
      <c r="CQ18" s="35"/>
      <c r="CR18" s="35"/>
      <c r="CS18" s="35"/>
      <c r="CT18" s="35"/>
    </row>
    <row r="19" spans="1:241" x14ac:dyDescent="0.3">
      <c r="A19" s="507" t="s">
        <v>244</v>
      </c>
      <c r="B19" s="197">
        <f>B18/B20</f>
        <v>2.9894736842105265E-4</v>
      </c>
      <c r="C19" s="197">
        <f>C18/C20</f>
        <v>2.6885982994527663E-3</v>
      </c>
      <c r="D19" s="197">
        <f>D18/D20</f>
        <v>5.6122228153448845E-3</v>
      </c>
      <c r="E19" s="197">
        <f>E18/E20</f>
        <v>1.3937946146598964E-3</v>
      </c>
      <c r="F19" s="197">
        <f>F18/F20</f>
        <v>1.8536823322507349E-3</v>
      </c>
      <c r="G19" s="121"/>
      <c r="H19" s="121"/>
      <c r="I19" s="54"/>
      <c r="J19" s="54"/>
      <c r="K19" s="54"/>
      <c r="L19" s="54"/>
      <c r="M19" s="527"/>
    </row>
    <row r="20" spans="1:241" s="35" customFormat="1" x14ac:dyDescent="0.3">
      <c r="A20" s="517" t="s">
        <v>245</v>
      </c>
      <c r="B20" s="55">
        <f>B7+B11+B12+B14+B16-B18</f>
        <v>237500</v>
      </c>
      <c r="C20" s="55">
        <f>C7+C11+C12+C14+C16-C18</f>
        <v>283791</v>
      </c>
      <c r="D20" s="55">
        <f>D7+D11+D12+D14+D16-D18</f>
        <v>277252</v>
      </c>
      <c r="E20" s="55">
        <f>E7+E11+E12+E14+E16-E18</f>
        <v>283399</v>
      </c>
      <c r="F20" s="55">
        <f>F7+F11+F12+F14+F16-F18</f>
        <v>389495</v>
      </c>
      <c r="G20" s="121"/>
      <c r="H20" s="121"/>
      <c r="I20" s="55">
        <f ca="1">I7+I11+I12+I14+I16-I18</f>
        <v>435404.07993158867</v>
      </c>
      <c r="J20" s="55">
        <f ca="1">J7+J11+J12+J14+J16-J18</f>
        <v>490993.6880043642</v>
      </c>
      <c r="K20" s="55">
        <f ca="1">K7+K11+K12+K14+K16-K18</f>
        <v>558449.17353653372</v>
      </c>
      <c r="L20" s="55">
        <f ca="1">L7+L11+L12+L14+L16-L18</f>
        <v>640794.78942174849</v>
      </c>
      <c r="M20" s="526">
        <f ca="1">M7+M11+M12+M14+M16-M18</f>
        <v>741867.73209191998</v>
      </c>
    </row>
    <row r="21" spans="1:241" x14ac:dyDescent="0.3">
      <c r="A21" s="517" t="s">
        <v>246</v>
      </c>
      <c r="B21" s="54"/>
      <c r="C21" s="54"/>
      <c r="D21" s="54"/>
      <c r="E21" s="54"/>
      <c r="F21" s="54"/>
      <c r="G21" s="121"/>
      <c r="H21" s="121"/>
      <c r="I21" s="54"/>
      <c r="J21" s="54"/>
      <c r="K21" s="54"/>
      <c r="L21" s="54"/>
      <c r="M21" s="527"/>
    </row>
    <row r="22" spans="1:241" s="41" customFormat="1" x14ac:dyDescent="0.3">
      <c r="A22" s="528" t="s">
        <v>247</v>
      </c>
      <c r="B22" s="529">
        <f>Case!B16</f>
        <v>7126</v>
      </c>
      <c r="C22" s="529">
        <f>Case!C16</f>
        <v>4534</v>
      </c>
      <c r="D22" s="529">
        <f>Case!D16</f>
        <v>2948</v>
      </c>
      <c r="E22" s="529">
        <f>Case!E16</f>
        <v>4723</v>
      </c>
      <c r="F22" s="529">
        <f>Case!F16</f>
        <v>5374</v>
      </c>
      <c r="G22" s="530">
        <v>0.05</v>
      </c>
      <c r="H22" s="530"/>
      <c r="I22" s="529">
        <f>F22*(1+$G$22)</f>
        <v>5642.7</v>
      </c>
      <c r="J22" s="529">
        <f>I22*(1+$G$22)</f>
        <v>5924.835</v>
      </c>
      <c r="K22" s="529">
        <f>J22*(1+$G$22)</f>
        <v>6221.0767500000002</v>
      </c>
      <c r="L22" s="529">
        <f>K22*(1+$G$22)</f>
        <v>6532.1305875000007</v>
      </c>
      <c r="M22" s="531">
        <f>L22*(1+$G$22)</f>
        <v>6858.7371168750014</v>
      </c>
      <c r="N22" s="35"/>
      <c r="O22" s="35"/>
      <c r="P22" s="35"/>
      <c r="Q22" s="35"/>
      <c r="R22" s="35"/>
      <c r="S22" s="35"/>
      <c r="T22" s="35"/>
      <c r="U22" s="35"/>
      <c r="V22" s="35"/>
      <c r="W22" s="35"/>
      <c r="X22" s="35"/>
      <c r="Y22" s="35"/>
      <c r="Z22" s="35"/>
      <c r="AA22" s="35"/>
      <c r="AB22" s="35"/>
      <c r="AC22" s="35"/>
      <c r="AD22" s="35"/>
      <c r="AE22" s="35"/>
      <c r="AF22" s="35"/>
      <c r="AG22" s="35"/>
      <c r="AH22" s="35"/>
      <c r="AI22" s="35"/>
      <c r="AJ22" s="35"/>
      <c r="AK22" s="35"/>
      <c r="AL22" s="35"/>
      <c r="AM22" s="35"/>
      <c r="AN22" s="35"/>
      <c r="AO22" s="35"/>
      <c r="AP22" s="35"/>
      <c r="AQ22" s="35"/>
      <c r="AR22" s="35"/>
      <c r="AS22" s="35"/>
      <c r="AT22" s="35"/>
      <c r="AU22" s="35"/>
      <c r="AV22" s="35"/>
      <c r="AW22" s="35"/>
      <c r="AX22" s="35"/>
      <c r="AY22" s="35"/>
      <c r="AZ22" s="35"/>
      <c r="BA22" s="35"/>
      <c r="BB22" s="35"/>
      <c r="BC22" s="35"/>
      <c r="BD22" s="35"/>
      <c r="BE22" s="35"/>
      <c r="BF22" s="35"/>
      <c r="BG22" s="35"/>
      <c r="BH22" s="35"/>
      <c r="BI22" s="35"/>
      <c r="BJ22" s="35"/>
      <c r="BK22" s="35"/>
      <c r="BL22" s="35"/>
      <c r="BM22" s="35"/>
      <c r="BN22" s="35"/>
      <c r="BO22" s="35"/>
      <c r="BP22" s="35"/>
      <c r="BQ22" s="35"/>
      <c r="BR22" s="35"/>
      <c r="BS22" s="35"/>
      <c r="BT22" s="35"/>
      <c r="BU22" s="35"/>
      <c r="BV22" s="35"/>
      <c r="BW22" s="35"/>
      <c r="BX22" s="35"/>
      <c r="BY22" s="35"/>
      <c r="BZ22" s="35"/>
      <c r="CA22" s="35"/>
      <c r="CB22" s="35"/>
      <c r="CC22" s="35"/>
      <c r="CD22" s="35"/>
      <c r="CE22" s="35"/>
      <c r="CF22" s="35"/>
      <c r="CG22" s="35"/>
      <c r="CH22" s="35"/>
      <c r="CI22" s="35"/>
      <c r="CJ22" s="35"/>
      <c r="CK22" s="35"/>
      <c r="CL22" s="35"/>
      <c r="CM22" s="35"/>
      <c r="CN22" s="35"/>
      <c r="CO22" s="35"/>
      <c r="CP22" s="35"/>
      <c r="CQ22" s="35"/>
      <c r="CR22" s="35"/>
      <c r="CS22" s="35"/>
      <c r="CT22" s="35"/>
    </row>
    <row r="23" spans="1:241" s="35" customFormat="1" x14ac:dyDescent="0.3">
      <c r="A23" s="199"/>
      <c r="B23" s="200"/>
      <c r="C23" s="200"/>
      <c r="D23" s="200"/>
      <c r="E23" s="200"/>
      <c r="F23" s="200"/>
      <c r="G23" s="201"/>
      <c r="H23" s="201"/>
      <c r="I23" s="200"/>
      <c r="J23" s="200"/>
      <c r="K23" s="200"/>
      <c r="L23" s="200"/>
      <c r="M23" s="202"/>
    </row>
    <row r="24" spans="1:241" x14ac:dyDescent="0.3">
      <c r="A24" s="170" t="s">
        <v>248</v>
      </c>
      <c r="B24" s="203"/>
      <c r="C24" s="204">
        <f>Case!C17/Case!B17-1</f>
        <v>0.46000612932883844</v>
      </c>
      <c r="D24" s="204">
        <f>Case!D17/Case!C17-1</f>
        <v>8.2913518052056823E-3</v>
      </c>
      <c r="E24" s="204">
        <f>Case!E17/Case!D17-1</f>
        <v>-0.24617466430727597</v>
      </c>
      <c r="F24" s="204">
        <f>Case!F17/Case!E17-1</f>
        <v>0.72576636288318142</v>
      </c>
      <c r="G24" s="205">
        <f>AVERAGE(C24:F24)</f>
        <v>0.23697229492748739</v>
      </c>
      <c r="H24" s="129"/>
      <c r="I24" s="206"/>
      <c r="J24" s="206"/>
      <c r="K24" s="206"/>
      <c r="L24" s="206"/>
      <c r="M24" s="207"/>
    </row>
    <row r="25" spans="1:241" ht="16.2" thickBot="1" x14ac:dyDescent="0.35">
      <c r="A25" s="208"/>
      <c r="B25" s="123"/>
      <c r="C25" s="209"/>
      <c r="D25" s="209"/>
      <c r="E25" s="209"/>
      <c r="F25" s="209"/>
      <c r="G25" s="209"/>
      <c r="H25" s="123"/>
      <c r="I25" s="107"/>
      <c r="J25" s="107"/>
      <c r="K25" s="107"/>
      <c r="L25" s="107"/>
      <c r="M25" s="210"/>
    </row>
    <row r="26" spans="1:241" x14ac:dyDescent="0.3">
      <c r="A26" s="502" t="s">
        <v>249</v>
      </c>
      <c r="B26" s="503"/>
      <c r="C26" s="503"/>
      <c r="D26" s="503"/>
      <c r="E26" s="503"/>
      <c r="F26" s="503"/>
      <c r="G26" s="461"/>
      <c r="H26" s="461"/>
      <c r="I26" s="503"/>
      <c r="J26" s="503"/>
      <c r="K26" s="503"/>
      <c r="L26" s="503"/>
      <c r="M26" s="504"/>
    </row>
    <row r="27" spans="1:241" ht="31.2" x14ac:dyDescent="0.3">
      <c r="A27" s="505" t="s">
        <v>250</v>
      </c>
      <c r="B27" s="52"/>
      <c r="C27" s="52"/>
      <c r="D27" s="52"/>
      <c r="E27" s="52"/>
      <c r="F27" s="52"/>
      <c r="G27" s="121">
        <f>Case!F20</f>
        <v>26</v>
      </c>
      <c r="H27" s="121"/>
      <c r="I27" s="52"/>
      <c r="J27" s="52"/>
      <c r="K27" s="52"/>
      <c r="L27" s="52"/>
      <c r="M27" s="506"/>
    </row>
    <row r="28" spans="1:241" x14ac:dyDescent="0.3">
      <c r="A28" s="507" t="s">
        <v>154</v>
      </c>
      <c r="B28" s="52"/>
      <c r="C28" s="211"/>
      <c r="D28" s="211"/>
      <c r="E28" s="211"/>
      <c r="F28" s="211"/>
      <c r="G28" s="212">
        <v>0</v>
      </c>
      <c r="H28" s="121"/>
      <c r="I28" s="52"/>
      <c r="J28" s="52"/>
      <c r="K28" s="52"/>
      <c r="L28" s="52"/>
      <c r="M28" s="506"/>
    </row>
    <row r="29" spans="1:241" x14ac:dyDescent="0.3">
      <c r="A29" s="505" t="s">
        <v>155</v>
      </c>
      <c r="B29" s="52"/>
      <c r="C29" s="211"/>
      <c r="D29" s="211"/>
      <c r="E29" s="211"/>
      <c r="F29" s="211"/>
      <c r="G29" s="212">
        <v>0</v>
      </c>
      <c r="H29" s="121"/>
      <c r="I29" s="52"/>
      <c r="J29" s="52"/>
      <c r="K29" s="52"/>
      <c r="L29" s="52"/>
      <c r="M29" s="506"/>
    </row>
    <row r="30" spans="1:241" x14ac:dyDescent="0.3">
      <c r="A30" s="508" t="s">
        <v>251</v>
      </c>
      <c r="B30" s="242">
        <f>Case!B23/Case!B49</f>
        <v>2.6262205562497106E-3</v>
      </c>
      <c r="C30" s="242">
        <f>Case!C23/Case!C49</f>
        <v>3.8408727309373544E-2</v>
      </c>
      <c r="D30" s="242">
        <f>Case!D23/Case!D49</f>
        <v>2.9832122101419972E-2</v>
      </c>
      <c r="E30" s="242">
        <f>Case!E23/Case!E49</f>
        <v>3.5466867469879516E-2</v>
      </c>
      <c r="F30" s="242">
        <f>Case!F23/Case!F49</f>
        <v>3.4903414541707624E-2</v>
      </c>
      <c r="G30" s="243">
        <f>AVERAGE(B30:F30)</f>
        <v>2.824747039572607E-2</v>
      </c>
      <c r="H30" s="244"/>
      <c r="I30" s="245"/>
      <c r="J30" s="245"/>
      <c r="K30" s="245"/>
      <c r="L30" s="245"/>
      <c r="M30" s="509"/>
      <c r="O30" s="43"/>
      <c r="P30" s="43">
        <v>6.6000000000000003E-2</v>
      </c>
      <c r="Q30" s="43">
        <v>4.36E-2</v>
      </c>
      <c r="R30" s="43">
        <v>4.1300000000000003E-2</v>
      </c>
      <c r="S30" s="43">
        <v>3.9899999999999998E-2</v>
      </c>
      <c r="T30" s="44">
        <v>0.04</v>
      </c>
    </row>
    <row r="31" spans="1:241" s="169" customFormat="1" ht="16.2" thickBot="1" x14ac:dyDescent="0.35">
      <c r="A31" s="510" t="s">
        <v>157</v>
      </c>
      <c r="B31" s="511"/>
      <c r="C31" s="511"/>
      <c r="D31" s="511"/>
      <c r="E31" s="511"/>
      <c r="F31" s="511"/>
      <c r="G31" s="478">
        <f>Case!F24</f>
        <v>3835</v>
      </c>
      <c r="H31" s="478"/>
      <c r="I31" s="511"/>
      <c r="J31" s="511"/>
      <c r="K31" s="511"/>
      <c r="L31" s="511"/>
      <c r="M31" s="512"/>
      <c r="N31"/>
      <c r="O31"/>
      <c r="P31"/>
      <c r="Q31"/>
      <c r="R31"/>
      <c r="S31"/>
      <c r="T31"/>
      <c r="U31"/>
      <c r="V31"/>
      <c r="W31"/>
      <c r="X31"/>
      <c r="Y31"/>
      <c r="Z31"/>
      <c r="AA31"/>
      <c r="AB31"/>
      <c r="AC31"/>
      <c r="AD31"/>
      <c r="AE31"/>
      <c r="AF31"/>
      <c r="AG31"/>
      <c r="AH31"/>
      <c r="AI31"/>
      <c r="AJ31"/>
      <c r="AK31"/>
      <c r="AL31"/>
      <c r="AM31"/>
      <c r="AN31"/>
      <c r="AO31"/>
      <c r="AP31"/>
      <c r="AQ31"/>
      <c r="AR31"/>
      <c r="AS31"/>
      <c r="AT31"/>
      <c r="AU31"/>
      <c r="AV31"/>
      <c r="AW31"/>
      <c r="AX31"/>
      <c r="AY31"/>
      <c r="AZ31"/>
      <c r="BA31"/>
      <c r="BB31"/>
      <c r="BC31"/>
      <c r="BD31"/>
      <c r="BE31"/>
      <c r="BF31"/>
      <c r="BG31"/>
      <c r="BH31"/>
      <c r="BI31"/>
      <c r="BJ31"/>
      <c r="BK31"/>
      <c r="BL31"/>
      <c r="BM31"/>
      <c r="BN31"/>
      <c r="BO31"/>
      <c r="BP31"/>
      <c r="BQ31"/>
      <c r="BR31"/>
      <c r="BS31"/>
      <c r="BT31"/>
      <c r="BU31"/>
      <c r="BV31"/>
      <c r="BW31"/>
      <c r="BX31"/>
      <c r="BY31"/>
      <c r="BZ31"/>
      <c r="CA31"/>
      <c r="CB31"/>
      <c r="CC31"/>
      <c r="CD31"/>
      <c r="CE31"/>
      <c r="CF31"/>
      <c r="CG31"/>
      <c r="CH31"/>
      <c r="CI31"/>
      <c r="CJ31"/>
      <c r="CK31"/>
      <c r="CL31"/>
      <c r="CM31"/>
      <c r="CN31"/>
      <c r="CO31"/>
      <c r="CP31"/>
      <c r="CQ31"/>
      <c r="CR31"/>
      <c r="CS31"/>
      <c r="CT31"/>
      <c r="CU31"/>
      <c r="CV31"/>
      <c r="CW31"/>
      <c r="CX31"/>
      <c r="CY31"/>
      <c r="CZ31"/>
      <c r="DA31"/>
      <c r="DB31"/>
      <c r="DC31"/>
      <c r="DD31"/>
      <c r="DE31"/>
      <c r="DF31"/>
      <c r="DG31"/>
      <c r="DH31"/>
      <c r="DI31"/>
      <c r="DJ31"/>
      <c r="DK31"/>
      <c r="DL31"/>
      <c r="DM31"/>
      <c r="DN31"/>
      <c r="DO31"/>
      <c r="DP31"/>
      <c r="DQ31"/>
      <c r="DR31"/>
      <c r="DS31"/>
      <c r="DT31"/>
      <c r="DU31"/>
      <c r="DV31"/>
      <c r="DW31"/>
      <c r="DX31"/>
      <c r="DY31"/>
      <c r="DZ31"/>
      <c r="EA31"/>
      <c r="EB31"/>
      <c r="EC31"/>
      <c r="ED31"/>
      <c r="EE31"/>
      <c r="EF31"/>
      <c r="EG31"/>
      <c r="EH31"/>
      <c r="EI31"/>
      <c r="EJ31"/>
      <c r="EK31"/>
      <c r="EL31"/>
      <c r="EM31"/>
      <c r="EN31"/>
      <c r="EO31"/>
      <c r="EP31"/>
      <c r="EQ31"/>
      <c r="ER31"/>
      <c r="ES31"/>
      <c r="ET31"/>
      <c r="EU31"/>
      <c r="EV31"/>
      <c r="EW31"/>
      <c r="EX31"/>
      <c r="EY31"/>
      <c r="EZ31"/>
      <c r="FA31"/>
      <c r="FB31"/>
      <c r="FC31"/>
      <c r="FD31"/>
      <c r="FE31"/>
      <c r="FF31"/>
      <c r="FG31"/>
      <c r="FH31"/>
      <c r="FI31"/>
      <c r="FJ31"/>
      <c r="FK31"/>
      <c r="FL31"/>
      <c r="FM31"/>
      <c r="FN31"/>
      <c r="FO31"/>
      <c r="FP31"/>
      <c r="FQ31"/>
      <c r="FR31"/>
      <c r="FS31"/>
      <c r="FT31"/>
      <c r="FU31"/>
      <c r="FV31"/>
      <c r="FW31"/>
      <c r="FX31"/>
      <c r="FY31"/>
      <c r="FZ31"/>
      <c r="GA31"/>
      <c r="GB31"/>
      <c r="GC31"/>
      <c r="GD31"/>
      <c r="GE31"/>
      <c r="GF31"/>
      <c r="GG31"/>
      <c r="GH31"/>
      <c r="GI31"/>
      <c r="GJ31"/>
      <c r="GK31"/>
      <c r="GL31"/>
      <c r="GM31"/>
      <c r="GN31"/>
      <c r="GO31"/>
      <c r="GP31"/>
      <c r="GQ31"/>
      <c r="GR31"/>
      <c r="GS31"/>
      <c r="GT31"/>
      <c r="GU31"/>
      <c r="GV31"/>
      <c r="GW31"/>
      <c r="GX31"/>
      <c r="GY31"/>
      <c r="GZ31"/>
      <c r="HA31"/>
      <c r="HB31"/>
      <c r="HC31"/>
      <c r="HD31"/>
      <c r="HE31"/>
      <c r="HF31"/>
      <c r="HG31"/>
      <c r="HH31"/>
      <c r="HI31"/>
      <c r="HJ31"/>
      <c r="HK31"/>
      <c r="HL31"/>
      <c r="HM31"/>
      <c r="HN31"/>
      <c r="HO31"/>
      <c r="HP31"/>
      <c r="HQ31"/>
      <c r="HR31"/>
      <c r="HS31"/>
      <c r="HT31"/>
      <c r="HU31"/>
      <c r="HV31"/>
      <c r="HW31"/>
      <c r="HX31"/>
      <c r="HY31"/>
      <c r="HZ31"/>
      <c r="IA31"/>
      <c r="IB31"/>
      <c r="IC31"/>
      <c r="ID31"/>
      <c r="IE31"/>
      <c r="IF31"/>
      <c r="IG31"/>
    </row>
    <row r="32" spans="1:241" ht="16.2" thickBot="1" x14ac:dyDescent="0.35">
      <c r="A32" s="213"/>
      <c r="B32" s="111"/>
      <c r="C32" s="214"/>
      <c r="D32" s="214"/>
      <c r="E32" s="214"/>
      <c r="F32" s="214"/>
      <c r="G32" s="130"/>
      <c r="H32" s="130"/>
      <c r="I32" s="111"/>
      <c r="J32" s="111"/>
      <c r="K32" s="111"/>
      <c r="L32" s="111"/>
      <c r="M32" s="100"/>
    </row>
    <row r="33" spans="1:19" ht="20.399999999999999" x14ac:dyDescent="0.35">
      <c r="A33" s="513" t="s">
        <v>252</v>
      </c>
      <c r="B33" s="514">
        <f>Case!B28</f>
        <v>164709</v>
      </c>
      <c r="C33" s="514">
        <f>Case!C28</f>
        <v>179914</v>
      </c>
      <c r="D33" s="514">
        <f>Case!D28</f>
        <v>169522</v>
      </c>
      <c r="E33" s="514">
        <f>Case!E28</f>
        <v>137852</v>
      </c>
      <c r="F33" s="514">
        <f>Case!F28</f>
        <v>227875</v>
      </c>
      <c r="G33" s="449"/>
      <c r="H33" s="461"/>
      <c r="I33" s="515">
        <f ca="1">'Model- Income statement'!G17*Input!I41</f>
        <v>139559.07648061041</v>
      </c>
      <c r="J33" s="515">
        <f ca="1">'Model- Income statement'!H17*Input!J41</f>
        <v>27230.714833150458</v>
      </c>
      <c r="K33" s="515">
        <f ca="1">'Model- Income statement'!I17*Input!K41</f>
        <v>125750.0335196416</v>
      </c>
      <c r="L33" s="515">
        <f ca="1">'Model- Income statement'!J17*Input!L41</f>
        <v>137095.90194664005</v>
      </c>
      <c r="M33" s="516">
        <f ca="1">'Model- Income statement'!K17*Input!M41</f>
        <v>175254.04972247471</v>
      </c>
    </row>
    <row r="34" spans="1:19" x14ac:dyDescent="0.3">
      <c r="A34" s="517"/>
      <c r="B34" s="52"/>
      <c r="C34" s="197"/>
      <c r="D34" s="197"/>
      <c r="E34" s="197"/>
      <c r="F34" s="197"/>
      <c r="G34" s="124"/>
      <c r="H34" s="121"/>
      <c r="I34" s="52"/>
      <c r="J34" s="52"/>
      <c r="K34" s="52"/>
      <c r="L34" s="52"/>
      <c r="M34" s="506"/>
      <c r="O34" s="42" t="s">
        <v>253</v>
      </c>
      <c r="P34" s="42" t="s">
        <v>254</v>
      </c>
      <c r="R34" s="42" t="s">
        <v>255</v>
      </c>
      <c r="S34" s="42" t="s">
        <v>254</v>
      </c>
    </row>
    <row r="35" spans="1:19" x14ac:dyDescent="0.3">
      <c r="A35" s="507" t="s">
        <v>256</v>
      </c>
      <c r="B35" s="197">
        <f>B33/Case!B18</f>
        <v>0.65581400904631459</v>
      </c>
      <c r="C35" s="197">
        <f>C33/Case!C18</f>
        <v>0.60403621920880435</v>
      </c>
      <c r="D35" s="197">
        <f>D33/Case!D18</f>
        <v>0.58494791361147247</v>
      </c>
      <c r="E35" s="197">
        <f>E33/Case!E18</f>
        <v>0.46671903143240207</v>
      </c>
      <c r="F35" s="197">
        <f>F33/Case!F18</f>
        <v>0.5593850262785155</v>
      </c>
      <c r="G35" s="195"/>
      <c r="H35" s="121"/>
      <c r="I35" s="52"/>
      <c r="J35" s="52"/>
      <c r="K35" s="52"/>
      <c r="L35" s="52"/>
      <c r="M35" s="506"/>
      <c r="O35" s="171">
        <v>2022</v>
      </c>
      <c r="P35" s="43">
        <v>5.7200000000000001E-2</v>
      </c>
      <c r="R35" s="171">
        <v>2022</v>
      </c>
      <c r="S35" s="43">
        <v>6.8400000000000002E-2</v>
      </c>
    </row>
    <row r="36" spans="1:19" x14ac:dyDescent="0.3">
      <c r="A36" s="507" t="s">
        <v>257</v>
      </c>
      <c r="B36" s="198"/>
      <c r="C36" s="198"/>
      <c r="D36" s="198"/>
      <c r="E36" s="198"/>
      <c r="F36" s="198"/>
      <c r="G36" s="195"/>
      <c r="H36" s="121"/>
      <c r="I36" s="197">
        <f>$P36/$P35-1</f>
        <v>0.15384615384615397</v>
      </c>
      <c r="J36" s="197">
        <f>Input!P37/Input!P36-1</f>
        <v>-0.33939393939393947</v>
      </c>
      <c r="K36" s="197">
        <f>Input!P38/Input!P37-1</f>
        <v>-5.2752293577981613E-2</v>
      </c>
      <c r="L36" s="197">
        <f>(Input!P39/Input!P38)-1</f>
        <v>-3.3898305084745894E-2</v>
      </c>
      <c r="M36" s="518">
        <f>(Input!P40/Input!P39)-1</f>
        <v>2.5062656641605674E-3</v>
      </c>
      <c r="O36" s="171">
        <v>2023</v>
      </c>
      <c r="P36" s="43">
        <v>6.6000000000000003E-2</v>
      </c>
      <c r="R36" s="171">
        <v>2023</v>
      </c>
      <c r="S36" s="43">
        <v>6.0600000000000001E-2</v>
      </c>
    </row>
    <row r="37" spans="1:19" x14ac:dyDescent="0.3">
      <c r="A37" s="507" t="s">
        <v>258</v>
      </c>
      <c r="B37" s="198"/>
      <c r="C37" s="198"/>
      <c r="D37" s="198"/>
      <c r="E37" s="198"/>
      <c r="F37" s="198"/>
      <c r="G37" s="195"/>
      <c r="H37" s="121"/>
      <c r="I37" s="197">
        <v>0.1459</v>
      </c>
      <c r="J37" s="197">
        <f>I37</f>
        <v>0.1459</v>
      </c>
      <c r="K37" s="197">
        <f>J37</f>
        <v>0.1459</v>
      </c>
      <c r="L37" s="197">
        <f>K37</f>
        <v>0.1459</v>
      </c>
      <c r="M37" s="518">
        <f>L37</f>
        <v>0.1459</v>
      </c>
      <c r="O37" s="171">
        <v>2024</v>
      </c>
      <c r="P37" s="43">
        <v>4.36E-2</v>
      </c>
      <c r="R37" s="171">
        <v>2024</v>
      </c>
      <c r="S37" s="43">
        <v>6.8099999999999994E-2</v>
      </c>
    </row>
    <row r="38" spans="1:19" x14ac:dyDescent="0.3">
      <c r="A38" s="507" t="s">
        <v>259</v>
      </c>
      <c r="B38" s="198"/>
      <c r="C38" s="198"/>
      <c r="D38" s="198"/>
      <c r="E38" s="198"/>
      <c r="F38" s="198"/>
      <c r="G38" s="195"/>
      <c r="H38" s="121"/>
      <c r="I38" s="197">
        <f>(Input!S36/Input!S35)-1</f>
        <v>-0.11403508771929827</v>
      </c>
      <c r="J38" s="197">
        <f>(Input!S37/Input!S36)-1</f>
        <v>0.12376237623762365</v>
      </c>
      <c r="K38" s="197">
        <f>(Input!S38/Input!S37)-1</f>
        <v>-4.405286343612258E-3</v>
      </c>
      <c r="L38" s="197">
        <f>(Input!S39/Input!S38)-1</f>
        <v>-3.6873156342182911E-2</v>
      </c>
      <c r="M38" s="518">
        <f>(Input!S40/Input!S39)-1</f>
        <v>-5.5130168453292439E-2</v>
      </c>
      <c r="O38" s="171">
        <v>2025</v>
      </c>
      <c r="P38" s="43">
        <v>4.1300000000000003E-2</v>
      </c>
      <c r="R38" s="171">
        <v>2025</v>
      </c>
      <c r="S38" s="43">
        <v>6.7799999999999999E-2</v>
      </c>
    </row>
    <row r="39" spans="1:19" x14ac:dyDescent="0.3">
      <c r="A39" s="507" t="s">
        <v>260</v>
      </c>
      <c r="B39" s="198"/>
      <c r="C39" s="198"/>
      <c r="D39" s="198"/>
      <c r="E39" s="198"/>
      <c r="F39" s="198"/>
      <c r="G39" s="195"/>
      <c r="H39" s="121"/>
      <c r="I39" s="211">
        <v>0.12</v>
      </c>
      <c r="J39" s="197">
        <f>I39+$G$40</f>
        <v>0.1225</v>
      </c>
      <c r="K39" s="197">
        <f t="shared" ref="K39:L39" si="5">J39+$G$40</f>
        <v>0.125</v>
      </c>
      <c r="L39" s="197">
        <f t="shared" si="5"/>
        <v>0.1275</v>
      </c>
      <c r="M39" s="519">
        <v>0.13</v>
      </c>
      <c r="O39" s="171">
        <v>2026</v>
      </c>
      <c r="P39" s="43">
        <v>3.9899999999999998E-2</v>
      </c>
      <c r="R39" s="171">
        <v>2026</v>
      </c>
      <c r="S39" s="43">
        <v>6.5299999999999997E-2</v>
      </c>
    </row>
    <row r="40" spans="1:19" x14ac:dyDescent="0.3">
      <c r="A40" s="507" t="s">
        <v>520</v>
      </c>
      <c r="B40" s="198"/>
      <c r="C40" s="198"/>
      <c r="D40" s="198"/>
      <c r="E40" s="198"/>
      <c r="F40" s="198"/>
      <c r="G40" s="195">
        <f>(M39-I39)/4</f>
        <v>2.5000000000000022E-3</v>
      </c>
      <c r="H40" s="121"/>
      <c r="I40" s="211"/>
      <c r="J40" s="211"/>
      <c r="K40" s="211"/>
      <c r="L40" s="211"/>
      <c r="M40" s="519"/>
      <c r="O40" s="171">
        <v>2027</v>
      </c>
      <c r="P40" s="44">
        <v>0.04</v>
      </c>
      <c r="R40" s="171">
        <v>2027</v>
      </c>
      <c r="S40" s="43">
        <v>6.1699999999999998E-2</v>
      </c>
    </row>
    <row r="41" spans="1:19" ht="16.2" thickBot="1" x14ac:dyDescent="0.35">
      <c r="A41" s="520" t="s">
        <v>261</v>
      </c>
      <c r="B41" s="521"/>
      <c r="C41" s="521"/>
      <c r="D41" s="521"/>
      <c r="E41" s="521"/>
      <c r="F41" s="521"/>
      <c r="G41" s="522"/>
      <c r="H41" s="464"/>
      <c r="I41" s="523">
        <f>SUM(I36:I40)</f>
        <v>0.30571106612685572</v>
      </c>
      <c r="J41" s="523">
        <f>SUM(J36:J40)</f>
        <v>5.276843684368418E-2</v>
      </c>
      <c r="K41" s="523">
        <f>SUM(K36:K40)</f>
        <v>0.21374242007840613</v>
      </c>
      <c r="L41" s="523">
        <f>SUM(L36:L40)</f>
        <v>0.2026285385730712</v>
      </c>
      <c r="M41" s="524">
        <f>SUM(M36:M40)</f>
        <v>0.22327609721086814</v>
      </c>
    </row>
    <row r="42" spans="1:19" ht="16.2" thickBot="1" x14ac:dyDescent="0.35">
      <c r="A42" s="110"/>
      <c r="B42" s="216"/>
      <c r="C42" s="216"/>
      <c r="D42" s="216"/>
      <c r="E42" s="216"/>
      <c r="F42" s="216"/>
      <c r="G42" s="217"/>
      <c r="H42" s="130"/>
      <c r="I42" s="111"/>
      <c r="J42" s="111"/>
      <c r="K42" s="111"/>
      <c r="L42" s="111"/>
      <c r="M42" s="100"/>
    </row>
    <row r="43" spans="1:19" ht="16.2" thickBot="1" x14ac:dyDescent="0.35">
      <c r="A43" s="218" t="s">
        <v>262</v>
      </c>
      <c r="B43" s="206"/>
      <c r="C43" s="219">
        <f>(Case!C33/Case!B33)-1</f>
        <v>-8.7072496903877306E-2</v>
      </c>
      <c r="D43" s="219">
        <f>(Case!D33/Case!C33)-1</f>
        <v>3.2140248356464562E-2</v>
      </c>
      <c r="E43" s="219">
        <f>(Case!E33/Case!D33)-1</f>
        <v>-1.0009099181073733E-2</v>
      </c>
      <c r="F43" s="219">
        <f>(Case!F33/Case!E33)-1</f>
        <v>-0.22743055555555558</v>
      </c>
      <c r="G43" s="220">
        <f>AVERAGE(C43:F43)</f>
        <v>-7.3092975821010514E-2</v>
      </c>
      <c r="H43" s="129"/>
      <c r="I43" s="206"/>
      <c r="J43" s="206"/>
      <c r="K43" s="206"/>
      <c r="L43" s="206"/>
      <c r="M43" s="207"/>
    </row>
    <row r="44" spans="1:19" ht="16.2" thickBot="1" x14ac:dyDescent="0.35">
      <c r="A44" s="110"/>
      <c r="B44" s="216"/>
      <c r="C44" s="216"/>
      <c r="D44" s="216"/>
      <c r="E44" s="216"/>
      <c r="F44" s="216"/>
      <c r="G44" s="217"/>
      <c r="H44" s="130"/>
      <c r="I44" s="111"/>
      <c r="J44" s="111"/>
      <c r="K44" s="111"/>
      <c r="L44" s="111"/>
      <c r="M44" s="100"/>
    </row>
    <row r="45" spans="1:19" ht="31.8" thickBot="1" x14ac:dyDescent="0.35">
      <c r="A45" s="221" t="s">
        <v>263</v>
      </c>
      <c r="B45" s="222"/>
      <c r="C45" s="222">
        <f>Case!C30/Case!C18</f>
        <v>-1.6880810332613738E-2</v>
      </c>
      <c r="D45" s="222">
        <f>Case!D30/Case!D18</f>
        <v>-6.3387012736062273E-2</v>
      </c>
      <c r="E45" s="222">
        <f>Case!E30/Case!E18</f>
        <v>6.8007610947847408E-2</v>
      </c>
      <c r="F45" s="222">
        <f>Case!F30/Case!F18</f>
        <v>-2.0431208222560983E-2</v>
      </c>
      <c r="G45" s="205">
        <f>AVERAGE(B45:F45)</f>
        <v>-8.1728550858473966E-3</v>
      </c>
      <c r="H45" s="129"/>
      <c r="I45" s="206"/>
      <c r="J45" s="206"/>
      <c r="K45" s="206"/>
      <c r="L45" s="206"/>
      <c r="M45" s="207"/>
    </row>
    <row r="46" spans="1:19" x14ac:dyDescent="0.3">
      <c r="A46" s="223"/>
      <c r="B46" s="224"/>
      <c r="C46" s="224"/>
      <c r="D46" s="224"/>
      <c r="E46" s="224"/>
      <c r="F46" s="224"/>
      <c r="G46" s="215"/>
      <c r="H46" s="130"/>
      <c r="I46" s="111"/>
      <c r="J46" s="111"/>
      <c r="K46" s="111"/>
      <c r="L46" s="111"/>
      <c r="M46" s="100"/>
    </row>
    <row r="47" spans="1:19" x14ac:dyDescent="0.3">
      <c r="A47" s="218" t="s">
        <v>264</v>
      </c>
      <c r="B47" s="225">
        <f>Case!B31/Case!B28</f>
        <v>0.14149196461638405</v>
      </c>
      <c r="C47" s="225">
        <f>Case!C31/Case!C28</f>
        <v>0.20754916237758039</v>
      </c>
      <c r="D47" s="225">
        <f>Case!D31/Case!D28</f>
        <v>0.2260768513821215</v>
      </c>
      <c r="E47" s="225">
        <f>Case!E31/Case!E28</f>
        <v>0.27913269303310795</v>
      </c>
      <c r="F47" s="225">
        <f>Case!F31/Case!F28</f>
        <v>0.18996818431157433</v>
      </c>
      <c r="G47" s="205">
        <f>AVERAGE(B47:F47)</f>
        <v>0.20884377114415362</v>
      </c>
      <c r="H47" s="205"/>
      <c r="I47" s="222"/>
      <c r="J47" s="206"/>
      <c r="K47" s="206"/>
      <c r="L47" s="206"/>
      <c r="M47" s="207"/>
    </row>
    <row r="48" spans="1:19" x14ac:dyDescent="0.3">
      <c r="A48" s="110"/>
      <c r="B48" s="224"/>
      <c r="C48" s="224"/>
      <c r="D48" s="224"/>
      <c r="E48" s="224"/>
      <c r="F48" s="224"/>
      <c r="G48" s="215"/>
      <c r="H48" s="215"/>
      <c r="I48" s="214"/>
      <c r="J48" s="111"/>
      <c r="K48" s="111"/>
      <c r="L48" s="111"/>
      <c r="M48" s="100"/>
    </row>
    <row r="49" spans="1:13" x14ac:dyDescent="0.3">
      <c r="A49" s="218" t="s">
        <v>265</v>
      </c>
      <c r="B49" s="226"/>
      <c r="C49" s="226"/>
      <c r="D49" s="226"/>
      <c r="E49" s="226"/>
      <c r="F49" s="226"/>
      <c r="G49" s="220">
        <f>VLOOKUP(Q5,P6:Q9,2,FALSE)</f>
        <v>8.7499999999999994E-2</v>
      </c>
      <c r="H49" s="129"/>
      <c r="I49" s="206"/>
      <c r="J49" s="206"/>
      <c r="K49" s="206"/>
      <c r="L49" s="206"/>
      <c r="M49" s="207"/>
    </row>
    <row r="50" spans="1:13" x14ac:dyDescent="0.3">
      <c r="A50" s="110"/>
      <c r="B50" s="227"/>
      <c r="C50" s="227"/>
      <c r="D50" s="227"/>
      <c r="E50" s="227"/>
      <c r="F50" s="227"/>
      <c r="G50" s="217"/>
      <c r="H50" s="130"/>
      <c r="I50" s="111"/>
      <c r="J50" s="111"/>
      <c r="K50" s="111"/>
      <c r="L50" s="111"/>
      <c r="M50" s="100"/>
    </row>
    <row r="51" spans="1:13" x14ac:dyDescent="0.3">
      <c r="A51" s="218" t="s">
        <v>266</v>
      </c>
      <c r="B51" s="219">
        <f>Case!B34/Case!B28</f>
        <v>0.15024679889987796</v>
      </c>
      <c r="C51" s="219">
        <f>Case!C34/Case!C28</f>
        <v>0.19408717498360328</v>
      </c>
      <c r="D51" s="219">
        <f>Case!D34/Case!D28</f>
        <v>0.19560293059307937</v>
      </c>
      <c r="E51" s="219">
        <f>Case!E34/Case!E28</f>
        <v>0.235810869628297</v>
      </c>
      <c r="F51" s="219">
        <f>Case!F34/Case!F28</f>
        <v>0.20246187602852442</v>
      </c>
      <c r="G51" s="220">
        <f>AVERAGE(B51:F51)</f>
        <v>0.1956419300266764</v>
      </c>
      <c r="H51" s="129"/>
      <c r="I51" s="206"/>
      <c r="J51" s="206"/>
      <c r="K51" s="206"/>
      <c r="L51" s="206"/>
      <c r="M51" s="207"/>
    </row>
    <row r="52" spans="1:13" x14ac:dyDescent="0.3">
      <c r="A52" s="110"/>
      <c r="B52" s="111"/>
      <c r="C52" s="111"/>
      <c r="D52" s="111"/>
      <c r="E52" s="111"/>
      <c r="F52" s="111"/>
      <c r="G52" s="130"/>
      <c r="H52" s="130"/>
      <c r="I52" s="111"/>
      <c r="J52" s="111"/>
      <c r="K52" s="111"/>
      <c r="L52" s="111"/>
      <c r="M52" s="100"/>
    </row>
    <row r="53" spans="1:13" x14ac:dyDescent="0.3">
      <c r="A53" s="166" t="s">
        <v>170</v>
      </c>
      <c r="B53" s="189"/>
      <c r="C53" s="189"/>
      <c r="D53" s="189"/>
      <c r="E53" s="189"/>
      <c r="F53" s="189"/>
      <c r="G53" s="127"/>
      <c r="H53" s="127"/>
      <c r="I53" s="189"/>
      <c r="J53" s="189"/>
      <c r="K53" s="189"/>
      <c r="L53" s="189"/>
      <c r="M53" s="190"/>
    </row>
    <row r="54" spans="1:13" x14ac:dyDescent="0.3">
      <c r="A54" s="53" t="s">
        <v>171</v>
      </c>
      <c r="B54" s="52"/>
      <c r="C54" s="197">
        <f>Case!C38/Case!C36</f>
        <v>0.30170805572380377</v>
      </c>
      <c r="D54" s="197">
        <f>Case!D38/Case!D36</f>
        <v>0.24265271988743461</v>
      </c>
      <c r="E54" s="197">
        <f>Case!E38/Case!E36</f>
        <v>0.26767210423720117</v>
      </c>
      <c r="F54" s="197">
        <f>Case!F38/Case!F36</f>
        <v>0.25314194121430539</v>
      </c>
      <c r="G54" s="124">
        <f>AVERAGE(B54:F54)</f>
        <v>0.26629370526568624</v>
      </c>
      <c r="H54" s="121"/>
      <c r="I54" s="52"/>
      <c r="J54" s="52"/>
      <c r="K54" s="52"/>
      <c r="L54" s="52"/>
      <c r="M54" s="118"/>
    </row>
    <row r="55" spans="1:13" x14ac:dyDescent="0.3">
      <c r="A55" s="228" t="s">
        <v>172</v>
      </c>
      <c r="B55" s="117"/>
      <c r="C55" s="117"/>
      <c r="D55" s="117"/>
      <c r="E55" s="117"/>
      <c r="F55" s="117"/>
      <c r="G55" s="229">
        <f>Case!F39</f>
        <v>74</v>
      </c>
      <c r="H55" s="128"/>
      <c r="I55" s="119"/>
      <c r="J55" s="119"/>
      <c r="K55" s="119"/>
      <c r="L55" s="119"/>
      <c r="M55" s="120"/>
    </row>
    <row r="56" spans="1:13" x14ac:dyDescent="0.3">
      <c r="A56" s="230"/>
      <c r="B56" s="214"/>
      <c r="C56" s="214"/>
      <c r="D56" s="214"/>
      <c r="E56" s="214"/>
      <c r="F56" s="214"/>
      <c r="G56" s="231"/>
      <c r="H56" s="130"/>
      <c r="I56" s="111"/>
      <c r="J56" s="111"/>
      <c r="K56" s="111"/>
      <c r="L56" s="232"/>
    </row>
    <row r="57" spans="1:13" x14ac:dyDescent="0.3">
      <c r="A57" s="233" t="s">
        <v>267</v>
      </c>
      <c r="B57" s="234">
        <v>77255</v>
      </c>
      <c r="C57" s="234">
        <v>126435</v>
      </c>
      <c r="D57" s="234">
        <v>118246</v>
      </c>
      <c r="E57" s="234">
        <f>106694</f>
        <v>106694</v>
      </c>
      <c r="F57" s="234">
        <v>152427</v>
      </c>
      <c r="G57" s="127"/>
      <c r="H57" s="127"/>
      <c r="I57" s="189"/>
      <c r="J57" s="189"/>
      <c r="K57" s="189"/>
      <c r="L57" s="189"/>
      <c r="M57" s="190"/>
    </row>
    <row r="58" spans="1:13" x14ac:dyDescent="0.3">
      <c r="A58" s="53" t="s">
        <v>268</v>
      </c>
      <c r="B58" s="54">
        <v>252750</v>
      </c>
      <c r="C58" s="54">
        <v>301590</v>
      </c>
      <c r="D58" s="54">
        <v>293453</v>
      </c>
      <c r="E58" s="54">
        <v>299160</v>
      </c>
      <c r="F58" s="54">
        <v>415830</v>
      </c>
      <c r="G58" s="121"/>
      <c r="H58" s="121"/>
      <c r="I58" s="52"/>
      <c r="J58" s="52"/>
      <c r="K58" s="52"/>
      <c r="L58" s="52"/>
      <c r="M58" s="118"/>
    </row>
    <row r="59" spans="1:13" x14ac:dyDescent="0.3">
      <c r="A59" s="116" t="s">
        <v>269</v>
      </c>
      <c r="B59" s="117">
        <f>B57/B58</f>
        <v>0.30565776458951532</v>
      </c>
      <c r="C59" s="117">
        <f>C57/C58</f>
        <v>0.41922809111707948</v>
      </c>
      <c r="D59" s="117">
        <f>D57/D58</f>
        <v>0.40294697958446496</v>
      </c>
      <c r="E59" s="117">
        <f>E57/E58</f>
        <v>0.35664527343227703</v>
      </c>
      <c r="F59" s="117">
        <f>F57/F58</f>
        <v>0.366560854195224</v>
      </c>
      <c r="G59" s="122">
        <f>AVERAGE(B59:F59)</f>
        <v>0.37020779258371217</v>
      </c>
      <c r="H59" s="122"/>
      <c r="I59" s="119"/>
      <c r="J59" s="119"/>
      <c r="K59" s="119"/>
      <c r="L59" s="119"/>
      <c r="M59" s="120"/>
    </row>
    <row r="60" spans="1:13" x14ac:dyDescent="0.3">
      <c r="A60" s="39"/>
      <c r="B60" s="40"/>
      <c r="C60" s="40"/>
      <c r="D60" s="40"/>
      <c r="E60" s="40"/>
      <c r="F60" s="40"/>
      <c r="G60" s="23"/>
      <c r="H60" s="23"/>
      <c r="I60" s="40"/>
      <c r="J60" s="40"/>
      <c r="K60" s="40"/>
      <c r="L60" s="101"/>
    </row>
    <row r="61" spans="1:13" ht="16.2" thickBot="1" x14ac:dyDescent="0.35">
      <c r="A61" s="106"/>
      <c r="B61" s="107"/>
      <c r="C61" s="107"/>
      <c r="D61" s="107"/>
      <c r="E61" s="107"/>
      <c r="F61" s="107"/>
      <c r="G61" s="123"/>
      <c r="H61" s="123"/>
      <c r="I61" s="107"/>
      <c r="J61" s="107"/>
      <c r="K61" s="107"/>
      <c r="L61" s="108"/>
    </row>
    <row r="62" spans="1:13" ht="22.8" x14ac:dyDescent="0.4">
      <c r="A62" s="777" t="s">
        <v>270</v>
      </c>
      <c r="B62" s="778"/>
      <c r="C62" s="778"/>
      <c r="D62" s="778"/>
      <c r="E62" s="778"/>
      <c r="F62" s="778"/>
      <c r="G62" s="778"/>
      <c r="H62" s="778"/>
      <c r="I62" s="778"/>
      <c r="J62" s="778"/>
      <c r="K62" s="778"/>
      <c r="L62" s="778"/>
      <c r="M62" s="779"/>
    </row>
    <row r="63" spans="1:13" ht="16.2" thickBot="1" x14ac:dyDescent="0.35">
      <c r="A63" s="235"/>
      <c r="B63" s="236"/>
      <c r="C63" s="236"/>
      <c r="D63" s="236"/>
      <c r="E63" s="236"/>
      <c r="F63" s="236"/>
      <c r="G63" s="237"/>
      <c r="H63" s="237"/>
      <c r="I63" s="236"/>
      <c r="J63" s="236"/>
      <c r="K63" s="236"/>
      <c r="L63" s="236"/>
      <c r="M63" s="238"/>
    </row>
    <row r="64" spans="1:13" ht="17.399999999999999" x14ac:dyDescent="0.3">
      <c r="A64" s="447" t="s">
        <v>271</v>
      </c>
      <c r="B64" s="448"/>
      <c r="C64" s="448"/>
      <c r="D64" s="448"/>
      <c r="E64" s="448"/>
      <c r="F64" s="448"/>
      <c r="G64" s="449"/>
      <c r="H64" s="449"/>
      <c r="I64" s="450"/>
      <c r="J64" s="450"/>
      <c r="K64" s="450"/>
      <c r="L64" s="450"/>
      <c r="M64" s="451"/>
    </row>
    <row r="65" spans="1:108" x14ac:dyDescent="0.3">
      <c r="A65" s="452" t="s">
        <v>272</v>
      </c>
      <c r="B65" s="445">
        <f>B70-B68+B69</f>
        <v>93994</v>
      </c>
      <c r="C65" s="445">
        <f t="shared" ref="C65:F65" si="6">C70-C68+C69</f>
        <v>72645</v>
      </c>
      <c r="D65" s="445">
        <f t="shared" si="6"/>
        <v>93588</v>
      </c>
      <c r="E65" s="445">
        <f t="shared" si="6"/>
        <v>75224</v>
      </c>
      <c r="F65" s="445">
        <f t="shared" si="6"/>
        <v>78446</v>
      </c>
      <c r="G65" s="121"/>
      <c r="H65" s="121"/>
      <c r="I65" s="445">
        <f>F70</f>
        <v>84433</v>
      </c>
      <c r="J65" s="445">
        <f ca="1">I70</f>
        <v>88474.8496787123</v>
      </c>
      <c r="K65" s="445">
        <f ca="1">J70</f>
        <v>93716.689796185994</v>
      </c>
      <c r="L65" s="445">
        <f ca="1">K70</f>
        <v>100383.17489723448</v>
      </c>
      <c r="M65" s="453">
        <f ca="1">L70</f>
        <v>108763.56318186005</v>
      </c>
    </row>
    <row r="66" spans="1:108" x14ac:dyDescent="0.3">
      <c r="A66" s="454" t="s">
        <v>470</v>
      </c>
      <c r="B66" s="445">
        <v>3032</v>
      </c>
      <c r="C66" s="445">
        <v>16840</v>
      </c>
      <c r="D66" s="445">
        <v>3542</v>
      </c>
      <c r="E66" s="445">
        <v>12561</v>
      </c>
      <c r="F66" s="445">
        <v>14082</v>
      </c>
      <c r="G66" s="121"/>
      <c r="H66" s="121"/>
      <c r="I66" s="445"/>
      <c r="J66" s="445"/>
      <c r="K66" s="445"/>
      <c r="L66" s="445"/>
      <c r="M66" s="453"/>
    </row>
    <row r="67" spans="1:108" x14ac:dyDescent="0.3">
      <c r="A67" s="454" t="s">
        <v>469</v>
      </c>
      <c r="B67" s="446">
        <v>831</v>
      </c>
      <c r="C67" s="446">
        <v>229</v>
      </c>
      <c r="D67" s="446">
        <v>815</v>
      </c>
      <c r="E67" s="446">
        <v>565</v>
      </c>
      <c r="F67" s="446">
        <v>530</v>
      </c>
      <c r="G67" s="121"/>
      <c r="H67" s="121"/>
      <c r="I67" s="445"/>
      <c r="J67" s="445"/>
      <c r="K67" s="445"/>
      <c r="L67" s="445"/>
      <c r="M67" s="453"/>
    </row>
    <row r="68" spans="1:108" x14ac:dyDescent="0.3">
      <c r="A68" s="452" t="s">
        <v>273</v>
      </c>
      <c r="B68" s="445">
        <f>B66-B67</f>
        <v>2201</v>
      </c>
      <c r="C68" s="445">
        <f t="shared" ref="C68:F68" si="7">C66-C67</f>
        <v>16611</v>
      </c>
      <c r="D68" s="445">
        <f t="shared" si="7"/>
        <v>2727</v>
      </c>
      <c r="E68" s="445">
        <f t="shared" si="7"/>
        <v>11996</v>
      </c>
      <c r="F68" s="445">
        <f t="shared" si="7"/>
        <v>13552</v>
      </c>
      <c r="G68" s="121"/>
      <c r="H68" s="121"/>
      <c r="I68" s="445">
        <f ca="1">'Model- Income statement'!G17*$G$71</f>
        <v>13496.525944710575</v>
      </c>
      <c r="J68" s="445">
        <f ca="1">'Model- Income statement'!H17*$G$71</f>
        <v>15256.674456967521</v>
      </c>
      <c r="K68" s="445">
        <f ca="1">'Model- Income statement'!I17*$G$71</f>
        <v>17393.719164208404</v>
      </c>
      <c r="L68" s="445">
        <f ca="1">'Model- Income statement'!J17*$G$71</f>
        <v>20003.174682739776</v>
      </c>
      <c r="M68" s="453">
        <f ca="1">'Model- Income statement'!K17*$G$71</f>
        <v>23206.032529420962</v>
      </c>
    </row>
    <row r="69" spans="1:108" x14ac:dyDescent="0.3">
      <c r="A69" s="452" t="s">
        <v>274</v>
      </c>
      <c r="B69" s="445">
        <v>9759</v>
      </c>
      <c r="C69" s="445">
        <v>9873</v>
      </c>
      <c r="D69" s="445">
        <v>9764</v>
      </c>
      <c r="E69" s="445">
        <v>7540</v>
      </c>
      <c r="F69" s="445">
        <v>7565</v>
      </c>
      <c r="G69" s="121"/>
      <c r="H69" s="121"/>
      <c r="I69" s="445">
        <f ca="1">I70*$G$72</f>
        <v>9454.6762659982724</v>
      </c>
      <c r="J69" s="445">
        <f ca="1">J70*$G$72</f>
        <v>10014.834339493826</v>
      </c>
      <c r="K69" s="445">
        <f t="shared" ref="K69:M69" ca="1" si="8">K70*$G$72</f>
        <v>10727.234063159924</v>
      </c>
      <c r="L69" s="445">
        <f t="shared" ca="1" si="8"/>
        <v>11622.7863981142</v>
      </c>
      <c r="M69" s="453">
        <f t="shared" ca="1" si="8"/>
        <v>12741.099197286872</v>
      </c>
    </row>
    <row r="70" spans="1:108" x14ac:dyDescent="0.3">
      <c r="A70" s="452" t="s">
        <v>275</v>
      </c>
      <c r="B70" s="445">
        <f>Case!B49</f>
        <v>86436</v>
      </c>
      <c r="C70" s="445">
        <f>Case!C49</f>
        <v>79383</v>
      </c>
      <c r="D70" s="445">
        <f>Case!D49</f>
        <v>86551</v>
      </c>
      <c r="E70" s="445">
        <f>Case!E49</f>
        <v>79680</v>
      </c>
      <c r="F70" s="445">
        <f>Case!F49</f>
        <v>84433</v>
      </c>
      <c r="G70" s="121"/>
      <c r="H70" s="121"/>
      <c r="I70" s="445">
        <f ca="1">I65+I68-I69</f>
        <v>88474.8496787123</v>
      </c>
      <c r="J70" s="445">
        <f ca="1">J65+J68-J69</f>
        <v>93716.689796185994</v>
      </c>
      <c r="K70" s="445">
        <f ca="1">K65+K68-K69</f>
        <v>100383.17489723448</v>
      </c>
      <c r="L70" s="445">
        <f ca="1">L65+L68-L69</f>
        <v>108763.56318186005</v>
      </c>
      <c r="M70" s="453">
        <f ca="1">M65+M68-M69</f>
        <v>119228.49651399412</v>
      </c>
    </row>
    <row r="71" spans="1:108" x14ac:dyDescent="0.3">
      <c r="A71" s="454" t="s">
        <v>276</v>
      </c>
      <c r="B71" s="271">
        <f>B68/Case!B18</f>
        <v>8.7636172517041467E-3</v>
      </c>
      <c r="C71" s="271">
        <f>C68/Case!C18</f>
        <v>5.5769121009356964E-2</v>
      </c>
      <c r="D71" s="271">
        <f>D68/Case!D18</f>
        <v>9.4097106005030934E-3</v>
      </c>
      <c r="E71" s="271">
        <f>E68/Case!E18</f>
        <v>4.0614292872523397E-2</v>
      </c>
      <c r="F71" s="271">
        <f>F68/Case!F18</f>
        <v>3.3267299511251527E-2</v>
      </c>
      <c r="G71" s="124">
        <f>AVERAGE(B71:F71)</f>
        <v>2.9564808249067827E-2</v>
      </c>
      <c r="H71" s="124"/>
      <c r="I71" s="445"/>
      <c r="J71" s="445"/>
      <c r="K71" s="445"/>
      <c r="L71" s="445"/>
      <c r="M71" s="453"/>
      <c r="N71"/>
      <c r="O71"/>
      <c r="P71"/>
      <c r="Q71"/>
      <c r="R71"/>
      <c r="S71"/>
      <c r="T71"/>
      <c r="U71"/>
      <c r="V71"/>
      <c r="W71"/>
      <c r="X71"/>
      <c r="Y71"/>
      <c r="Z71"/>
      <c r="AA71"/>
      <c r="AB71"/>
      <c r="AC71"/>
      <c r="AD71"/>
      <c r="AE71"/>
      <c r="AF71"/>
      <c r="AG71"/>
      <c r="AH71"/>
      <c r="AI71"/>
      <c r="AJ71"/>
      <c r="AK71"/>
      <c r="AL71"/>
      <c r="AM71"/>
      <c r="AN71"/>
      <c r="AO71"/>
      <c r="AP71"/>
      <c r="AQ71"/>
      <c r="AR71"/>
      <c r="AS71"/>
      <c r="AT71"/>
      <c r="AU71"/>
      <c r="AV71"/>
      <c r="AW71"/>
      <c r="AX71"/>
      <c r="AY71"/>
      <c r="AZ71"/>
      <c r="BA71"/>
      <c r="BB71"/>
      <c r="BC71"/>
      <c r="BD71"/>
      <c r="BE71"/>
      <c r="BF71"/>
      <c r="BG71"/>
      <c r="BH71"/>
      <c r="BI71"/>
      <c r="BJ71"/>
      <c r="BK71"/>
      <c r="BL71"/>
      <c r="BM71"/>
      <c r="BN71"/>
      <c r="BO71"/>
      <c r="BP71"/>
      <c r="BQ71"/>
      <c r="BR71"/>
      <c r="BS71"/>
      <c r="BT71"/>
      <c r="BU71"/>
      <c r="BV71"/>
      <c r="BW71"/>
      <c r="BX71"/>
      <c r="BY71"/>
      <c r="BZ71"/>
      <c r="CA71"/>
      <c r="CB71"/>
      <c r="CC71"/>
      <c r="CD71"/>
      <c r="CE71"/>
      <c r="CF71"/>
      <c r="CG71"/>
      <c r="CH71"/>
      <c r="CI71"/>
      <c r="CJ71"/>
      <c r="CK71"/>
      <c r="CL71"/>
      <c r="CM71"/>
      <c r="CN71"/>
      <c r="CO71"/>
      <c r="CP71"/>
      <c r="CQ71"/>
      <c r="CR71"/>
      <c r="CS71"/>
      <c r="CT71"/>
      <c r="CU71"/>
      <c r="CV71"/>
      <c r="CW71"/>
      <c r="CX71"/>
      <c r="CY71"/>
      <c r="CZ71"/>
      <c r="DA71"/>
      <c r="DB71"/>
      <c r="DC71"/>
      <c r="DD71"/>
    </row>
    <row r="72" spans="1:108" x14ac:dyDescent="0.3">
      <c r="A72" s="455" t="s">
        <v>472</v>
      </c>
      <c r="B72" s="456">
        <f>B69/B70</f>
        <v>0.11290434541163404</v>
      </c>
      <c r="C72" s="456">
        <f t="shared" ref="C72:E72" si="9">C69/C70</f>
        <v>0.12437171686633158</v>
      </c>
      <c r="D72" s="456">
        <f t="shared" si="9"/>
        <v>0.11281209922473455</v>
      </c>
      <c r="E72" s="456">
        <f t="shared" si="9"/>
        <v>9.4628514056224897E-2</v>
      </c>
      <c r="F72" s="456">
        <f>F69/F70</f>
        <v>8.9597669157793755E-2</v>
      </c>
      <c r="G72" s="457">
        <f>AVERAGE(B72:F72)</f>
        <v>0.10686286894334376</v>
      </c>
      <c r="H72" s="457"/>
      <c r="I72" s="458"/>
      <c r="J72" s="458"/>
      <c r="K72" s="458"/>
      <c r="L72" s="458"/>
      <c r="M72" s="459"/>
      <c r="N72"/>
      <c r="O72"/>
      <c r="P72"/>
      <c r="Q72"/>
      <c r="R72"/>
      <c r="S72"/>
      <c r="T72"/>
      <c r="U72"/>
      <c r="V72"/>
      <c r="W72"/>
      <c r="X72"/>
      <c r="Y72"/>
      <c r="Z72"/>
      <c r="AA72"/>
      <c r="AB72"/>
      <c r="AC72"/>
      <c r="AD72"/>
      <c r="AE72"/>
      <c r="AF72"/>
      <c r="AG72"/>
      <c r="AH72"/>
      <c r="AI72"/>
      <c r="AJ72"/>
      <c r="AK72"/>
      <c r="AL72"/>
      <c r="AM72"/>
      <c r="AN72"/>
      <c r="AO72"/>
      <c r="AP72"/>
      <c r="AQ72"/>
      <c r="AR72"/>
      <c r="AS72"/>
      <c r="AT72"/>
      <c r="AU72"/>
      <c r="AV72"/>
      <c r="AW72"/>
      <c r="AX72"/>
      <c r="AY72"/>
      <c r="AZ72"/>
      <c r="BA72"/>
      <c r="BB72"/>
      <c r="BC72"/>
      <c r="BD72"/>
      <c r="BE72"/>
      <c r="BF72"/>
      <c r="BG72"/>
      <c r="BH72"/>
      <c r="BI72"/>
      <c r="BJ72"/>
      <c r="BK72"/>
      <c r="BL72"/>
      <c r="BM72"/>
      <c r="BN72"/>
      <c r="BO72"/>
      <c r="BP72"/>
      <c r="BQ72"/>
      <c r="BR72"/>
      <c r="BS72"/>
      <c r="BT72"/>
      <c r="BU72"/>
      <c r="BV72"/>
      <c r="BW72"/>
      <c r="BX72"/>
      <c r="BY72"/>
      <c r="BZ72"/>
      <c r="CA72"/>
      <c r="CB72"/>
      <c r="CC72"/>
      <c r="CD72"/>
      <c r="CE72"/>
      <c r="CF72"/>
      <c r="CG72"/>
      <c r="CH72"/>
      <c r="CI72"/>
      <c r="CJ72"/>
      <c r="CK72"/>
      <c r="CL72"/>
      <c r="CM72"/>
      <c r="CN72"/>
      <c r="CO72"/>
      <c r="CP72"/>
      <c r="CQ72"/>
      <c r="CR72"/>
      <c r="CS72"/>
      <c r="CT72"/>
      <c r="CU72"/>
      <c r="CV72"/>
      <c r="CW72"/>
      <c r="CX72"/>
      <c r="CY72"/>
      <c r="CZ72"/>
      <c r="DA72"/>
      <c r="DB72"/>
      <c r="DC72"/>
      <c r="DD72"/>
    </row>
    <row r="73" spans="1:108" x14ac:dyDescent="0.3">
      <c r="A73" s="102"/>
      <c r="B73" s="87"/>
      <c r="C73" s="87"/>
      <c r="D73" s="87"/>
      <c r="E73" s="87"/>
      <c r="F73" s="87"/>
      <c r="G73" s="125"/>
      <c r="H73" s="125"/>
      <c r="I73" s="88"/>
      <c r="J73" s="88"/>
      <c r="K73" s="88"/>
      <c r="L73" s="88"/>
      <c r="M73" s="103"/>
      <c r="N73"/>
      <c r="O73"/>
      <c r="P73"/>
      <c r="Q73"/>
      <c r="R73"/>
      <c r="S73"/>
      <c r="T73"/>
      <c r="U73"/>
      <c r="V73"/>
      <c r="W73"/>
      <c r="X73"/>
      <c r="Y73"/>
      <c r="Z73"/>
      <c r="AA73"/>
      <c r="AB73"/>
      <c r="AC73"/>
      <c r="AD73"/>
      <c r="AE73"/>
      <c r="AF73"/>
      <c r="AG73"/>
      <c r="AH73"/>
      <c r="AI73"/>
      <c r="AJ73"/>
      <c r="AK73"/>
      <c r="AL73"/>
      <c r="AM73"/>
      <c r="AN73"/>
      <c r="AO73"/>
      <c r="AP73"/>
      <c r="AQ73"/>
      <c r="AR73"/>
      <c r="AS73"/>
      <c r="AT73"/>
      <c r="AU73"/>
      <c r="AV73"/>
      <c r="AW73"/>
      <c r="AX73"/>
      <c r="AY73"/>
      <c r="AZ73"/>
      <c r="BA73"/>
      <c r="BB73"/>
      <c r="BC73"/>
      <c r="BD73"/>
      <c r="BE73"/>
      <c r="BF73"/>
      <c r="BG73"/>
      <c r="BH73"/>
      <c r="BI73"/>
      <c r="BJ73"/>
      <c r="BK73"/>
      <c r="BL73"/>
      <c r="BM73"/>
      <c r="BN73"/>
      <c r="BO73"/>
      <c r="BP73"/>
      <c r="BQ73"/>
      <c r="BR73"/>
      <c r="BS73"/>
      <c r="BT73"/>
      <c r="BU73"/>
      <c r="BV73"/>
      <c r="BW73"/>
      <c r="BX73"/>
      <c r="BY73"/>
      <c r="BZ73"/>
      <c r="CA73"/>
      <c r="CB73"/>
      <c r="CC73"/>
      <c r="CD73"/>
      <c r="CE73"/>
      <c r="CF73"/>
      <c r="CG73"/>
      <c r="CH73"/>
      <c r="CI73"/>
      <c r="CJ73"/>
      <c r="CK73"/>
      <c r="CL73"/>
      <c r="CM73"/>
      <c r="CN73"/>
      <c r="CO73"/>
      <c r="CP73"/>
      <c r="CQ73"/>
      <c r="CR73"/>
      <c r="CS73"/>
      <c r="CT73"/>
      <c r="CU73"/>
      <c r="CV73"/>
      <c r="CW73"/>
      <c r="CX73"/>
      <c r="CY73"/>
      <c r="CZ73"/>
      <c r="DA73"/>
      <c r="DB73"/>
      <c r="DC73"/>
      <c r="DD73"/>
    </row>
    <row r="74" spans="1:108" s="72" customFormat="1" x14ac:dyDescent="0.3">
      <c r="A74" s="77" t="s">
        <v>277</v>
      </c>
      <c r="B74" s="78">
        <f>Case!B50/Input!B68</f>
        <v>4.5433893684688779E-3</v>
      </c>
      <c r="C74" s="78">
        <f>Case!C50/Input!C68</f>
        <v>2.6548672566371681E-2</v>
      </c>
      <c r="D74" s="78">
        <f>Case!D50/Input!D68</f>
        <v>0.21232123212321233</v>
      </c>
      <c r="E74" s="78">
        <f>Case!E50/Input!E68</f>
        <v>0.14521507169056352</v>
      </c>
      <c r="F74" s="78">
        <f>Case!F50/Input!F68</f>
        <v>3.6230814639905552E-2</v>
      </c>
      <c r="G74" s="205">
        <f>AVERAGE(B74:F74)</f>
        <v>8.4971836077704394E-2</v>
      </c>
      <c r="H74" s="126"/>
      <c r="I74" s="79"/>
      <c r="J74" s="79"/>
      <c r="K74" s="79"/>
      <c r="L74" s="79"/>
      <c r="M74" s="80"/>
      <c r="N74"/>
      <c r="O74"/>
      <c r="P74"/>
      <c r="Q74"/>
      <c r="R74"/>
      <c r="S74"/>
      <c r="T74"/>
      <c r="U74"/>
      <c r="V74"/>
      <c r="W74"/>
      <c r="X74"/>
      <c r="Y74"/>
      <c r="Z74"/>
      <c r="AA74"/>
      <c r="AB74"/>
      <c r="AC74"/>
      <c r="AD74"/>
      <c r="AE74"/>
      <c r="AF74"/>
      <c r="AG74"/>
      <c r="AH74"/>
      <c r="AI74"/>
      <c r="AJ74"/>
      <c r="AK74"/>
      <c r="AL74"/>
      <c r="AM74"/>
      <c r="AN74"/>
      <c r="AO74"/>
      <c r="AP74"/>
      <c r="AQ74"/>
      <c r="AR74"/>
      <c r="AS74"/>
      <c r="AT74"/>
      <c r="AU74"/>
      <c r="AV74"/>
      <c r="AW74"/>
      <c r="AX74"/>
      <c r="AY74"/>
      <c r="AZ74"/>
      <c r="BA74"/>
      <c r="BB74"/>
      <c r="BC74"/>
      <c r="BD74"/>
      <c r="BE74"/>
      <c r="BF74"/>
      <c r="BG74"/>
      <c r="BH74"/>
      <c r="BI74"/>
      <c r="BJ74"/>
      <c r="BK74"/>
      <c r="BL74"/>
      <c r="BM74"/>
      <c r="BN74"/>
      <c r="BO74"/>
      <c r="BP74"/>
      <c r="BQ74"/>
      <c r="BR74"/>
      <c r="BS74"/>
      <c r="BT74"/>
      <c r="BU74"/>
      <c r="BV74"/>
      <c r="BW74"/>
      <c r="BX74"/>
      <c r="BY74"/>
      <c r="BZ74"/>
      <c r="CA74"/>
      <c r="CB74"/>
      <c r="CC74"/>
      <c r="CD74"/>
      <c r="CE74"/>
      <c r="CF74"/>
      <c r="CG74"/>
      <c r="CH74"/>
      <c r="CI74"/>
      <c r="CJ74"/>
      <c r="CK74"/>
      <c r="CL74"/>
      <c r="CM74"/>
      <c r="CN74"/>
      <c r="CO74"/>
      <c r="CP74"/>
      <c r="CQ74"/>
      <c r="CR74"/>
      <c r="CS74"/>
      <c r="CT74"/>
      <c r="CU74"/>
      <c r="CV74"/>
      <c r="CW74"/>
      <c r="CX74"/>
      <c r="CY74"/>
      <c r="CZ74"/>
      <c r="DA74"/>
      <c r="DB74"/>
      <c r="DC74"/>
      <c r="DD74"/>
    </row>
    <row r="75" spans="1:108" x14ac:dyDescent="0.3">
      <c r="A75" s="104"/>
      <c r="B75" s="57"/>
      <c r="C75" s="57"/>
      <c r="D75" s="57"/>
      <c r="E75" s="57"/>
      <c r="F75" s="57"/>
      <c r="G75" s="239"/>
      <c r="H75" s="125"/>
      <c r="I75" s="88"/>
      <c r="J75" s="88"/>
      <c r="K75" s="88"/>
      <c r="L75" s="88"/>
      <c r="M75" s="103"/>
      <c r="N75"/>
      <c r="O75"/>
      <c r="P75"/>
      <c r="Q75"/>
      <c r="R75"/>
      <c r="S75"/>
      <c r="T75"/>
      <c r="U75"/>
      <c r="V75"/>
      <c r="W75"/>
      <c r="X75"/>
      <c r="Y75"/>
      <c r="Z75"/>
      <c r="AA75"/>
      <c r="AB75"/>
      <c r="AC75"/>
      <c r="AD75"/>
      <c r="AE75"/>
      <c r="AF75"/>
      <c r="AG75"/>
      <c r="AH75"/>
      <c r="AI75"/>
      <c r="AJ75"/>
      <c r="AK75"/>
      <c r="AL75"/>
      <c r="AM75"/>
      <c r="AN75"/>
      <c r="AO75"/>
      <c r="AP75"/>
      <c r="AQ75"/>
      <c r="AR75"/>
      <c r="AS75"/>
      <c r="AT75"/>
      <c r="AU75"/>
      <c r="AV75"/>
      <c r="AW75"/>
      <c r="AX75"/>
      <c r="AY75"/>
      <c r="AZ75"/>
      <c r="BA75"/>
      <c r="BB75"/>
      <c r="BC75"/>
      <c r="BD75"/>
      <c r="BE75"/>
      <c r="BF75"/>
      <c r="BG75"/>
      <c r="BH75"/>
      <c r="BI75"/>
      <c r="BJ75"/>
      <c r="BK75"/>
      <c r="BL75"/>
      <c r="BM75"/>
      <c r="BN75"/>
      <c r="BO75"/>
      <c r="BP75"/>
      <c r="BQ75"/>
      <c r="BR75"/>
      <c r="BS75"/>
      <c r="BT75"/>
      <c r="BU75"/>
      <c r="BV75"/>
      <c r="BW75"/>
      <c r="BX75"/>
      <c r="BY75"/>
      <c r="BZ75"/>
      <c r="CA75"/>
      <c r="CB75"/>
      <c r="CC75"/>
      <c r="CD75"/>
      <c r="CE75"/>
      <c r="CF75"/>
      <c r="CG75"/>
      <c r="CH75"/>
      <c r="CI75"/>
      <c r="CJ75"/>
      <c r="CK75"/>
      <c r="CL75"/>
      <c r="CM75"/>
      <c r="CN75"/>
      <c r="CO75"/>
      <c r="CP75"/>
      <c r="CQ75"/>
      <c r="CR75"/>
      <c r="CS75"/>
      <c r="CT75"/>
      <c r="CU75"/>
      <c r="CV75"/>
      <c r="CW75"/>
      <c r="CX75"/>
      <c r="CY75"/>
      <c r="CZ75"/>
      <c r="DA75"/>
      <c r="DB75"/>
      <c r="DC75"/>
      <c r="DD75"/>
    </row>
    <row r="76" spans="1:108" s="72" customFormat="1" x14ac:dyDescent="0.3">
      <c r="A76" s="81" t="s">
        <v>278</v>
      </c>
      <c r="B76" s="82"/>
      <c r="C76" s="82"/>
      <c r="D76" s="82"/>
      <c r="E76" s="82"/>
      <c r="F76" s="82"/>
      <c r="G76" s="126">
        <f>Case!F51</f>
        <v>80</v>
      </c>
      <c r="H76" s="126"/>
      <c r="I76" s="82"/>
      <c r="J76" s="82"/>
      <c r="K76" s="82"/>
      <c r="L76" s="82"/>
      <c r="M76" s="83"/>
      <c r="N76"/>
      <c r="O76"/>
      <c r="P76"/>
      <c r="Q76"/>
      <c r="R76"/>
      <c r="S76"/>
      <c r="T76"/>
      <c r="U76"/>
      <c r="V76"/>
      <c r="W76"/>
      <c r="X76"/>
      <c r="Y76"/>
      <c r="Z76"/>
      <c r="AA76"/>
      <c r="AB76"/>
      <c r="AC76"/>
      <c r="AD76"/>
      <c r="AE76"/>
      <c r="AF76"/>
      <c r="AG76"/>
      <c r="AH76"/>
      <c r="AI76"/>
      <c r="AJ76"/>
      <c r="AK76"/>
      <c r="AL76"/>
      <c r="AM76"/>
      <c r="AN76"/>
      <c r="AO76"/>
      <c r="AP76"/>
      <c r="AQ76"/>
      <c r="AR76"/>
      <c r="AS76"/>
      <c r="AT76"/>
      <c r="AU76"/>
      <c r="AV76"/>
      <c r="AW76"/>
      <c r="AX76"/>
      <c r="AY76"/>
      <c r="AZ76"/>
      <c r="BA76"/>
      <c r="BB76"/>
      <c r="BC76"/>
      <c r="BD76"/>
      <c r="BE76"/>
      <c r="BF76"/>
      <c r="BG76"/>
      <c r="BH76"/>
      <c r="BI76"/>
      <c r="BJ76"/>
      <c r="BK76"/>
      <c r="BL76"/>
      <c r="BM76"/>
      <c r="BN76"/>
      <c r="BO76"/>
      <c r="BP76"/>
      <c r="BQ76"/>
      <c r="BR76"/>
      <c r="BS76"/>
      <c r="BT76"/>
      <c r="BU76"/>
      <c r="BV76"/>
      <c r="BW76"/>
      <c r="BX76"/>
      <c r="BY76"/>
      <c r="BZ76"/>
      <c r="CA76"/>
      <c r="CB76"/>
      <c r="CC76"/>
      <c r="CD76"/>
      <c r="CE76"/>
      <c r="CF76"/>
      <c r="CG76"/>
      <c r="CH76"/>
      <c r="CI76"/>
      <c r="CJ76"/>
      <c r="CK76"/>
      <c r="CL76"/>
      <c r="CM76"/>
      <c r="CN76"/>
      <c r="CO76"/>
      <c r="CP76"/>
      <c r="CQ76"/>
      <c r="CR76"/>
      <c r="CS76"/>
      <c r="CT76"/>
      <c r="CU76"/>
      <c r="CV76"/>
      <c r="CW76"/>
      <c r="CX76"/>
      <c r="CY76"/>
      <c r="CZ76"/>
      <c r="DA76"/>
      <c r="DB76"/>
      <c r="DC76"/>
      <c r="DD76"/>
    </row>
    <row r="77" spans="1:108" x14ac:dyDescent="0.3">
      <c r="A77" s="102"/>
      <c r="B77" s="87"/>
      <c r="C77" s="87"/>
      <c r="D77" s="87"/>
      <c r="E77" s="87"/>
      <c r="F77" s="87"/>
      <c r="G77" s="125"/>
      <c r="H77" s="125"/>
      <c r="I77" s="87"/>
      <c r="J77" s="87"/>
      <c r="K77" s="87"/>
      <c r="L77" s="87"/>
      <c r="M77" s="105"/>
      <c r="N77"/>
      <c r="O77"/>
      <c r="P77"/>
      <c r="Q77"/>
      <c r="R77"/>
      <c r="S77"/>
      <c r="T77"/>
      <c r="U77"/>
      <c r="V77"/>
      <c r="W77"/>
      <c r="X77"/>
      <c r="Y77"/>
      <c r="Z77"/>
      <c r="AA77"/>
      <c r="AB77"/>
      <c r="AC77"/>
      <c r="AD77"/>
      <c r="AE77"/>
      <c r="AF77"/>
      <c r="AG77"/>
      <c r="AH77"/>
      <c r="AI77"/>
      <c r="AJ77"/>
      <c r="AK77"/>
      <c r="AL77"/>
      <c r="AM77"/>
      <c r="AN77"/>
      <c r="AO77"/>
      <c r="AP77"/>
      <c r="AQ77"/>
      <c r="AR77"/>
      <c r="AS77"/>
      <c r="AT77"/>
      <c r="AU77"/>
      <c r="AV77"/>
      <c r="AW77"/>
      <c r="AX77"/>
      <c r="AY77"/>
      <c r="AZ77"/>
      <c r="BA77"/>
      <c r="BB77"/>
      <c r="BC77"/>
      <c r="BD77"/>
      <c r="BE77"/>
      <c r="BF77"/>
      <c r="BG77"/>
      <c r="BH77"/>
      <c r="BI77"/>
      <c r="BJ77"/>
      <c r="BK77"/>
      <c r="BL77"/>
      <c r="BM77"/>
      <c r="BN77"/>
      <c r="BO77"/>
      <c r="BP77"/>
      <c r="BQ77"/>
      <c r="BR77"/>
      <c r="BS77"/>
      <c r="BT77"/>
      <c r="BU77"/>
      <c r="BV77"/>
      <c r="BW77"/>
      <c r="BX77"/>
      <c r="BY77"/>
      <c r="BZ77"/>
      <c r="CA77"/>
      <c r="CB77"/>
      <c r="CC77"/>
      <c r="CD77"/>
      <c r="CE77"/>
      <c r="CF77"/>
      <c r="CG77"/>
      <c r="CH77"/>
      <c r="CI77"/>
      <c r="CJ77"/>
      <c r="CK77"/>
      <c r="CL77"/>
      <c r="CM77"/>
      <c r="CN77"/>
      <c r="CO77"/>
      <c r="CP77"/>
      <c r="CQ77"/>
      <c r="CR77"/>
      <c r="CS77"/>
      <c r="CT77"/>
      <c r="CU77"/>
      <c r="CV77"/>
      <c r="CW77"/>
      <c r="CX77"/>
      <c r="CY77"/>
      <c r="CZ77"/>
      <c r="DA77"/>
      <c r="DB77"/>
      <c r="DC77"/>
      <c r="DD77"/>
    </row>
    <row r="78" spans="1:108" s="72" customFormat="1" x14ac:dyDescent="0.3">
      <c r="A78" s="84" t="s">
        <v>279</v>
      </c>
      <c r="B78" s="66"/>
      <c r="C78" s="66"/>
      <c r="D78" s="66"/>
      <c r="E78" s="66"/>
      <c r="F78" s="66"/>
      <c r="G78" s="127"/>
      <c r="H78" s="127"/>
      <c r="I78" s="66"/>
      <c r="J78" s="66"/>
      <c r="K78" s="66"/>
      <c r="L78" s="66"/>
      <c r="M78" s="67"/>
      <c r="N78"/>
      <c r="O78"/>
      <c r="P78"/>
      <c r="Q78"/>
      <c r="R78"/>
      <c r="S78"/>
      <c r="T78"/>
      <c r="U78"/>
      <c r="V78"/>
      <c r="W78"/>
      <c r="X78"/>
      <c r="Y78"/>
      <c r="Z78"/>
      <c r="AA78"/>
      <c r="AB78"/>
      <c r="AC78"/>
      <c r="AD78"/>
      <c r="AE78"/>
      <c r="AF78"/>
      <c r="AG78"/>
      <c r="AH78"/>
      <c r="AI78"/>
      <c r="AJ78"/>
      <c r="AK78"/>
      <c r="AL78"/>
      <c r="AM78"/>
      <c r="AN78"/>
      <c r="AO78"/>
      <c r="AP78"/>
      <c r="AQ78"/>
      <c r="AR78"/>
      <c r="AS78"/>
      <c r="AT78"/>
      <c r="AU78"/>
      <c r="AV78"/>
      <c r="AW78"/>
      <c r="AX78"/>
      <c r="AY78"/>
      <c r="AZ78"/>
      <c r="BA78"/>
      <c r="BB78"/>
      <c r="BC78"/>
      <c r="BD78"/>
      <c r="BE78"/>
      <c r="BF78"/>
      <c r="BG78"/>
      <c r="BH78"/>
      <c r="BI78"/>
      <c r="BJ78"/>
      <c r="BK78"/>
      <c r="BL78"/>
      <c r="BM78"/>
      <c r="BN78"/>
      <c r="BO78"/>
      <c r="BP78"/>
      <c r="BQ78"/>
      <c r="BR78"/>
      <c r="BS78"/>
      <c r="BT78"/>
      <c r="BU78"/>
      <c r="BV78"/>
      <c r="BW78"/>
      <c r="BX78"/>
      <c r="BY78"/>
      <c r="BZ78"/>
      <c r="CA78"/>
      <c r="CB78"/>
      <c r="CC78"/>
      <c r="CD78"/>
      <c r="CE78"/>
      <c r="CF78"/>
      <c r="CG78"/>
      <c r="CH78"/>
      <c r="CI78"/>
      <c r="CJ78"/>
      <c r="CK78"/>
      <c r="CL78"/>
      <c r="CM78"/>
      <c r="CN78"/>
      <c r="CO78"/>
      <c r="CP78"/>
      <c r="CQ78"/>
      <c r="CR78"/>
      <c r="CS78"/>
      <c r="CT78"/>
      <c r="CU78"/>
      <c r="CV78"/>
      <c r="CW78"/>
      <c r="CX78"/>
      <c r="CY78"/>
      <c r="CZ78"/>
      <c r="DA78"/>
      <c r="DB78"/>
      <c r="DC78"/>
      <c r="DD78"/>
    </row>
    <row r="79" spans="1:108" s="72" customFormat="1" x14ac:dyDescent="0.3">
      <c r="A79" s="60" t="s">
        <v>182</v>
      </c>
      <c r="B79" s="63">
        <f>Case!B53</f>
        <v>7851</v>
      </c>
      <c r="C79" s="63">
        <f>Case!C53</f>
        <v>7987</v>
      </c>
      <c r="D79" s="63">
        <f>Case!D53</f>
        <v>8296</v>
      </c>
      <c r="E79" s="63">
        <f>Case!E53</f>
        <v>18714</v>
      </c>
      <c r="F79" s="63">
        <f>Case!F53</f>
        <v>57912</v>
      </c>
      <c r="G79" s="124"/>
      <c r="H79" s="121"/>
      <c r="I79" s="61">
        <f>_xlfn.FORECAST.LINEAR(I3,$B$79:$F$79,$B$3:$F$3)</f>
        <v>53406.699999999255</v>
      </c>
      <c r="J79" s="61">
        <f>_xlfn.FORECAST.LINEAR(J3,$B$79:$F$79,$B$3:$F$3)</f>
        <v>64491.599999997765</v>
      </c>
      <c r="K79" s="61">
        <f>_xlfn.FORECAST.LINEAR(K3,$B$79:$F$79,$B$3:$F$3)</f>
        <v>75576.5</v>
      </c>
      <c r="L79" s="61">
        <f>_xlfn.FORECAST.LINEAR(L3,$B$79:$F$79,$B$3:$F$3)</f>
        <v>86661.39999999851</v>
      </c>
      <c r="M79" s="62">
        <f>_xlfn.FORECAST.LINEAR(M3,$B$79:$F$79,$B$3:$F$3)</f>
        <v>97746.300000000745</v>
      </c>
      <c r="N79"/>
      <c r="O79"/>
      <c r="P79"/>
      <c r="Q79"/>
      <c r="R79"/>
      <c r="S79"/>
      <c r="T79"/>
      <c r="U79"/>
      <c r="V79"/>
      <c r="W79"/>
      <c r="X79"/>
      <c r="Y79"/>
      <c r="Z79"/>
      <c r="AA79"/>
      <c r="AB79"/>
      <c r="AC79"/>
      <c r="AD79"/>
      <c r="AE79"/>
      <c r="AF79"/>
      <c r="AG79"/>
      <c r="AH79"/>
      <c r="AI79"/>
      <c r="AJ79"/>
      <c r="AK79"/>
      <c r="AL79"/>
      <c r="AM79"/>
      <c r="AN79"/>
      <c r="AO79"/>
      <c r="AP79"/>
      <c r="AQ79"/>
      <c r="AR79"/>
      <c r="AS79"/>
      <c r="AT79"/>
      <c r="AU79"/>
      <c r="AV79"/>
      <c r="AW79"/>
      <c r="AX79"/>
      <c r="AY79"/>
      <c r="AZ79"/>
      <c r="BA79"/>
      <c r="BB79"/>
      <c r="BC79"/>
      <c r="BD79"/>
      <c r="BE79"/>
      <c r="BF79"/>
      <c r="BG79"/>
      <c r="BH79"/>
      <c r="BI79"/>
      <c r="BJ79"/>
      <c r="BK79"/>
      <c r="BL79"/>
      <c r="BM79"/>
      <c r="BN79"/>
      <c r="BO79"/>
      <c r="BP79"/>
      <c r="BQ79"/>
      <c r="BR79"/>
      <c r="BS79"/>
      <c r="BT79"/>
      <c r="BU79"/>
      <c r="BV79"/>
      <c r="BW79"/>
      <c r="BX79"/>
      <c r="BY79"/>
      <c r="BZ79"/>
      <c r="CA79"/>
      <c r="CB79"/>
      <c r="CC79"/>
      <c r="CD79"/>
      <c r="CE79"/>
      <c r="CF79"/>
      <c r="CG79"/>
      <c r="CH79"/>
      <c r="CI79"/>
      <c r="CJ79"/>
      <c r="CK79"/>
      <c r="CL79"/>
      <c r="CM79"/>
      <c r="CN79"/>
      <c r="CO79"/>
      <c r="CP79"/>
      <c r="CQ79"/>
      <c r="CR79"/>
      <c r="CS79"/>
      <c r="CT79"/>
      <c r="CU79"/>
      <c r="CV79"/>
      <c r="CW79"/>
      <c r="CX79"/>
      <c r="CY79"/>
      <c r="CZ79"/>
      <c r="DA79"/>
      <c r="DB79"/>
      <c r="DC79"/>
      <c r="DD79"/>
    </row>
    <row r="80" spans="1:108" s="72" customFormat="1" x14ac:dyDescent="0.3">
      <c r="A80" s="60" t="s">
        <v>183</v>
      </c>
      <c r="B80" s="266">
        <f>Case!B54/Case!B57</f>
        <v>8.1298412417200611E-3</v>
      </c>
      <c r="C80" s="266">
        <f>Case!C54/Case!C57</f>
        <v>1.9026501953331221E-2</v>
      </c>
      <c r="D80" s="266">
        <f>Case!D54/Case!D57</f>
        <v>3.5264887392802758E-3</v>
      </c>
      <c r="E80" s="266">
        <f>Case!E54/Case!E57</f>
        <v>5.2986834442397103E-3</v>
      </c>
      <c r="F80" s="266">
        <f>Case!F54/Case!F57</f>
        <v>1.3695963047754601E-3</v>
      </c>
      <c r="G80" s="265">
        <f>AVERAGE(B80:F80)</f>
        <v>7.4702223366693464E-3</v>
      </c>
      <c r="H80" s="121"/>
      <c r="I80" s="61"/>
      <c r="J80" s="61"/>
      <c r="K80" s="61"/>
      <c r="L80" s="61"/>
      <c r="M80" s="62"/>
      <c r="N80"/>
      <c r="O80"/>
      <c r="P80"/>
      <c r="Q80"/>
      <c r="R80"/>
      <c r="S80"/>
      <c r="T80"/>
      <c r="U80"/>
      <c r="V80"/>
      <c r="W80"/>
      <c r="X80"/>
      <c r="Y80"/>
      <c r="Z80"/>
      <c r="AA80"/>
      <c r="AB80"/>
      <c r="AC80"/>
      <c r="AD80"/>
      <c r="AE80"/>
      <c r="AF80"/>
      <c r="AG80"/>
      <c r="AH80"/>
      <c r="AI80"/>
      <c r="AJ80"/>
      <c r="AK80"/>
      <c r="AL80"/>
      <c r="AM80"/>
      <c r="AN80"/>
      <c r="AO80"/>
      <c r="AP80"/>
      <c r="AQ80"/>
      <c r="AR80"/>
      <c r="AS80"/>
      <c r="AT80"/>
      <c r="AU80"/>
      <c r="AV80"/>
      <c r="AW80"/>
      <c r="AX80"/>
      <c r="AY80"/>
      <c r="AZ80"/>
      <c r="BA80"/>
      <c r="BB80"/>
      <c r="BC80"/>
      <c r="BD80"/>
      <c r="BE80"/>
      <c r="BF80"/>
      <c r="BG80"/>
      <c r="BH80"/>
      <c r="BI80"/>
      <c r="BJ80"/>
      <c r="BK80"/>
      <c r="BL80"/>
      <c r="BM80"/>
      <c r="BN80"/>
      <c r="BO80"/>
      <c r="BP80"/>
      <c r="BQ80"/>
      <c r="BR80"/>
      <c r="BS80"/>
      <c r="BT80"/>
      <c r="BU80"/>
      <c r="BV80"/>
      <c r="BW80"/>
      <c r="BX80"/>
      <c r="BY80"/>
      <c r="BZ80"/>
      <c r="CA80"/>
      <c r="CB80"/>
      <c r="CC80"/>
      <c r="CD80"/>
      <c r="CE80"/>
      <c r="CF80"/>
      <c r="CG80"/>
      <c r="CH80"/>
      <c r="CI80"/>
      <c r="CJ80"/>
      <c r="CK80"/>
      <c r="CL80"/>
      <c r="CM80"/>
      <c r="CN80"/>
      <c r="CO80"/>
      <c r="CP80"/>
      <c r="CQ80"/>
      <c r="CR80"/>
      <c r="CS80"/>
      <c r="CT80"/>
      <c r="CU80"/>
      <c r="CV80"/>
      <c r="CW80"/>
      <c r="CX80"/>
      <c r="CY80"/>
      <c r="CZ80"/>
      <c r="DA80"/>
      <c r="DB80"/>
      <c r="DC80"/>
      <c r="DD80"/>
    </row>
    <row r="81" spans="1:108" s="72" customFormat="1" x14ac:dyDescent="0.3">
      <c r="A81" s="65" t="s">
        <v>184</v>
      </c>
      <c r="B81" s="70"/>
      <c r="C81" s="70"/>
      <c r="D81" s="70"/>
      <c r="E81" s="70"/>
      <c r="F81" s="70"/>
      <c r="G81" s="128">
        <f>Case!F55</f>
        <v>2350</v>
      </c>
      <c r="H81" s="128"/>
      <c r="I81" s="70"/>
      <c r="J81" s="70"/>
      <c r="K81" s="70"/>
      <c r="L81" s="70"/>
      <c r="M81" s="71"/>
      <c r="N81"/>
      <c r="O81"/>
      <c r="P81"/>
      <c r="Q81"/>
      <c r="R81"/>
      <c r="S81"/>
      <c r="T81"/>
      <c r="U81"/>
      <c r="V81"/>
      <c r="W81"/>
      <c r="X81"/>
      <c r="Y81"/>
      <c r="Z81"/>
      <c r="AA81"/>
      <c r="AB81"/>
      <c r="AC81"/>
      <c r="AD81"/>
      <c r="AE81"/>
      <c r="AF81"/>
      <c r="AG81"/>
      <c r="AH81"/>
      <c r="AI81"/>
      <c r="AJ81"/>
      <c r="AK81"/>
      <c r="AL81"/>
      <c r="AM81"/>
      <c r="AN81"/>
      <c r="AO81"/>
      <c r="AP81"/>
      <c r="AQ81"/>
      <c r="AR81"/>
      <c r="AS81"/>
      <c r="AT81"/>
      <c r="AU81"/>
      <c r="AV81"/>
      <c r="AW81"/>
      <c r="AX81"/>
      <c r="AY81"/>
      <c r="AZ81"/>
      <c r="BA81"/>
      <c r="BB81"/>
      <c r="BC81"/>
      <c r="BD81"/>
      <c r="BE81"/>
      <c r="BF81"/>
      <c r="BG81"/>
      <c r="BH81"/>
      <c r="BI81"/>
      <c r="BJ81"/>
      <c r="BK81"/>
      <c r="BL81"/>
      <c r="BM81"/>
      <c r="BN81"/>
      <c r="BO81"/>
      <c r="BP81"/>
      <c r="BQ81"/>
      <c r="BR81"/>
      <c r="BS81"/>
      <c r="BT81"/>
      <c r="BU81"/>
      <c r="BV81"/>
      <c r="BW81"/>
      <c r="BX81"/>
      <c r="BY81"/>
      <c r="BZ81"/>
      <c r="CA81"/>
      <c r="CB81"/>
      <c r="CC81"/>
      <c r="CD81"/>
      <c r="CE81"/>
      <c r="CF81"/>
      <c r="CG81"/>
      <c r="CH81"/>
      <c r="CI81"/>
      <c r="CJ81"/>
      <c r="CK81"/>
      <c r="CL81"/>
      <c r="CM81"/>
      <c r="CN81"/>
      <c r="CO81"/>
      <c r="CP81"/>
      <c r="CQ81"/>
      <c r="CR81"/>
      <c r="CS81"/>
      <c r="CT81"/>
      <c r="CU81"/>
      <c r="CV81"/>
      <c r="CW81"/>
      <c r="CX81"/>
      <c r="CY81"/>
      <c r="CZ81"/>
      <c r="DA81"/>
      <c r="DB81"/>
      <c r="DC81"/>
      <c r="DD81"/>
    </row>
    <row r="82" spans="1:108" x14ac:dyDescent="0.3">
      <c r="A82" s="102"/>
      <c r="B82" s="87"/>
      <c r="C82" s="87"/>
      <c r="D82" s="87"/>
      <c r="E82" s="87"/>
      <c r="F82" s="87"/>
      <c r="G82" s="125"/>
      <c r="H82" s="125"/>
      <c r="I82" s="87"/>
      <c r="J82" s="87"/>
      <c r="K82" s="87"/>
      <c r="L82" s="87"/>
      <c r="M82" s="105"/>
      <c r="N82"/>
      <c r="O82"/>
      <c r="P82"/>
      <c r="Q82"/>
      <c r="R82"/>
      <c r="S82"/>
      <c r="T82"/>
      <c r="U82"/>
      <c r="V82"/>
      <c r="W82"/>
      <c r="X82"/>
      <c r="Y82"/>
      <c r="Z82"/>
      <c r="AA82"/>
      <c r="AB82"/>
      <c r="AC82"/>
      <c r="AD82"/>
      <c r="AE82"/>
      <c r="AF82"/>
      <c r="AG82"/>
      <c r="AH82"/>
      <c r="AI82"/>
      <c r="AJ82"/>
      <c r="AK82"/>
      <c r="AL82"/>
      <c r="AM82"/>
      <c r="AN82"/>
      <c r="AO82"/>
      <c r="AP82"/>
      <c r="AQ82"/>
      <c r="AR82"/>
      <c r="AS82"/>
      <c r="AT82"/>
      <c r="AU82"/>
      <c r="AV82"/>
      <c r="AW82"/>
      <c r="AX82"/>
      <c r="AY82"/>
      <c r="AZ82"/>
      <c r="BA82"/>
      <c r="BB82"/>
      <c r="BC82"/>
      <c r="BD82"/>
      <c r="BE82"/>
      <c r="BF82"/>
      <c r="BG82"/>
      <c r="BH82"/>
      <c r="BI82"/>
      <c r="BJ82"/>
      <c r="BK82"/>
      <c r="BL82"/>
      <c r="BM82"/>
      <c r="BN82"/>
      <c r="BO82"/>
      <c r="BP82"/>
      <c r="BQ82"/>
      <c r="BR82"/>
      <c r="BS82"/>
      <c r="BT82"/>
      <c r="BU82"/>
      <c r="BV82"/>
      <c r="BW82"/>
      <c r="BX82"/>
      <c r="BY82"/>
      <c r="BZ82"/>
      <c r="CA82"/>
      <c r="CB82"/>
      <c r="CC82"/>
      <c r="CD82"/>
      <c r="CE82"/>
      <c r="CF82"/>
      <c r="CG82"/>
      <c r="CH82"/>
      <c r="CI82"/>
      <c r="CJ82"/>
      <c r="CK82"/>
      <c r="CL82"/>
      <c r="CM82"/>
      <c r="CN82"/>
      <c r="CO82"/>
      <c r="CP82"/>
      <c r="CQ82"/>
      <c r="CR82"/>
      <c r="CS82"/>
      <c r="CT82"/>
      <c r="CU82"/>
      <c r="CV82"/>
      <c r="CW82"/>
      <c r="CX82"/>
      <c r="CY82"/>
      <c r="CZ82"/>
      <c r="DA82"/>
      <c r="DB82"/>
      <c r="DC82"/>
      <c r="DD82"/>
    </row>
    <row r="83" spans="1:108" s="58" customFormat="1" x14ac:dyDescent="0.3">
      <c r="A83" s="77" t="s">
        <v>280</v>
      </c>
      <c r="B83" s="78">
        <f>Case!B56/Case!B18</f>
        <v>2.5721475441167103E-2</v>
      </c>
      <c r="C83" s="78">
        <f>Case!C56/Case!C18</f>
        <v>1.7045321014057271E-2</v>
      </c>
      <c r="D83" s="78">
        <f>Case!D56/Case!D18</f>
        <v>9.5097771965480474E-3</v>
      </c>
      <c r="E83" s="78">
        <f>Case!E56/Case!E18</f>
        <v>7.0489294565349876E-3</v>
      </c>
      <c r="F83" s="78">
        <f>Case!F56/Case!F18</f>
        <v>8.5402106699855405E-3</v>
      </c>
      <c r="G83" s="220">
        <f>AVERAGE(B83:F83)</f>
        <v>1.3573142755658591E-2</v>
      </c>
      <c r="H83" s="129"/>
      <c r="I83" s="85"/>
      <c r="J83" s="85"/>
      <c r="K83" s="85"/>
      <c r="L83" s="85"/>
      <c r="M83" s="86"/>
      <c r="N83"/>
      <c r="O83"/>
      <c r="P83"/>
      <c r="Q83"/>
      <c r="R83"/>
      <c r="S83"/>
      <c r="T83"/>
      <c r="U83"/>
      <c r="V83"/>
      <c r="W83"/>
      <c r="X83"/>
      <c r="Y83"/>
      <c r="Z83"/>
      <c r="AA83"/>
      <c r="AB83"/>
      <c r="AC83"/>
      <c r="AD83"/>
      <c r="AE83"/>
      <c r="AF83"/>
      <c r="AG83"/>
      <c r="AH83"/>
      <c r="AI83"/>
      <c r="AJ83"/>
      <c r="AK83"/>
      <c r="AL83"/>
      <c r="AM83"/>
      <c r="AN83"/>
      <c r="AO83"/>
      <c r="AP83"/>
      <c r="AQ83"/>
      <c r="AR83"/>
      <c r="AS83"/>
      <c r="AT83"/>
      <c r="AU83"/>
      <c r="AV83"/>
      <c r="AW83"/>
      <c r="AX83"/>
      <c r="AY83"/>
      <c r="AZ83"/>
      <c r="BA83"/>
      <c r="BB83"/>
      <c r="BC83"/>
      <c r="BD83"/>
      <c r="BE83"/>
      <c r="BF83"/>
      <c r="BG83"/>
      <c r="BH83"/>
      <c r="BI83"/>
      <c r="BJ83"/>
      <c r="BK83"/>
      <c r="BL83"/>
      <c r="BM83"/>
      <c r="BN83"/>
      <c r="BO83"/>
      <c r="BP83"/>
      <c r="BQ83"/>
      <c r="BR83"/>
      <c r="BS83"/>
      <c r="BT83"/>
      <c r="BU83"/>
      <c r="BV83"/>
      <c r="BW83"/>
      <c r="BX83"/>
      <c r="BY83"/>
      <c r="BZ83"/>
      <c r="CA83"/>
      <c r="CB83"/>
      <c r="CC83"/>
      <c r="CD83"/>
      <c r="CE83"/>
      <c r="CF83"/>
      <c r="CG83"/>
      <c r="CH83"/>
      <c r="CI83"/>
      <c r="CJ83"/>
      <c r="CK83"/>
      <c r="CL83"/>
      <c r="CM83"/>
      <c r="CN83"/>
      <c r="CO83"/>
      <c r="CP83"/>
      <c r="CQ83"/>
      <c r="CR83"/>
      <c r="CS83"/>
      <c r="CT83"/>
      <c r="CU83"/>
      <c r="CV83"/>
      <c r="CW83"/>
      <c r="CX83"/>
      <c r="CY83"/>
      <c r="CZ83"/>
      <c r="DA83"/>
      <c r="DB83"/>
      <c r="DC83"/>
      <c r="DD83"/>
    </row>
    <row r="84" spans="1:108" x14ac:dyDescent="0.3">
      <c r="A84" s="102"/>
      <c r="B84" s="87"/>
      <c r="C84" s="87"/>
      <c r="D84" s="87"/>
      <c r="E84" s="87"/>
      <c r="F84" s="87"/>
      <c r="G84" s="125"/>
      <c r="H84" s="125"/>
      <c r="I84" s="87"/>
      <c r="J84" s="87"/>
      <c r="K84" s="87"/>
      <c r="L84" s="87"/>
      <c r="M84" s="105"/>
      <c r="N84"/>
      <c r="O84"/>
      <c r="P84"/>
      <c r="Q84"/>
      <c r="R84"/>
      <c r="S84"/>
      <c r="T84"/>
      <c r="U84"/>
      <c r="V84"/>
      <c r="W84"/>
      <c r="X84"/>
      <c r="Y84"/>
      <c r="Z84"/>
      <c r="AA84"/>
      <c r="AB84"/>
      <c r="AC84"/>
      <c r="AD84"/>
      <c r="AE84"/>
      <c r="AF84"/>
      <c r="AG84"/>
      <c r="AH84"/>
      <c r="AI84"/>
      <c r="AJ84"/>
      <c r="AK84"/>
      <c r="AL84"/>
      <c r="AM84"/>
      <c r="AN84"/>
      <c r="AO84"/>
      <c r="AP84"/>
      <c r="AQ84"/>
      <c r="AR84"/>
      <c r="AS84"/>
      <c r="AT84"/>
      <c r="AU84"/>
      <c r="AV84"/>
      <c r="AW84"/>
      <c r="AX84"/>
      <c r="AY84"/>
      <c r="AZ84"/>
      <c r="BA84"/>
      <c r="BB84"/>
      <c r="BC84"/>
      <c r="BD84"/>
      <c r="BE84"/>
      <c r="BF84"/>
      <c r="BG84"/>
      <c r="BH84"/>
      <c r="BI84"/>
      <c r="BJ84"/>
      <c r="BK84"/>
      <c r="BL84"/>
      <c r="BM84"/>
      <c r="BN84"/>
      <c r="BO84"/>
      <c r="BP84"/>
      <c r="BQ84"/>
      <c r="BR84"/>
      <c r="BS84"/>
      <c r="BT84"/>
      <c r="BU84"/>
      <c r="BV84"/>
      <c r="BW84"/>
      <c r="BX84"/>
      <c r="BY84"/>
      <c r="BZ84"/>
      <c r="CA84"/>
      <c r="CB84"/>
      <c r="CC84"/>
      <c r="CD84"/>
      <c r="CE84"/>
      <c r="CF84"/>
      <c r="CG84"/>
      <c r="CH84"/>
      <c r="CI84"/>
      <c r="CJ84"/>
      <c r="CK84"/>
      <c r="CL84"/>
      <c r="CM84"/>
      <c r="CN84"/>
      <c r="CO84"/>
      <c r="CP84"/>
      <c r="CQ84"/>
      <c r="CR84"/>
      <c r="CS84"/>
      <c r="CT84"/>
      <c r="CU84"/>
      <c r="CV84"/>
      <c r="CW84"/>
      <c r="CX84"/>
      <c r="CY84"/>
      <c r="CZ84"/>
      <c r="DA84"/>
      <c r="DB84"/>
      <c r="DC84"/>
      <c r="DD84"/>
    </row>
    <row r="85" spans="1:108" ht="17.399999999999999" x14ac:dyDescent="0.3">
      <c r="A85" s="59" t="s">
        <v>281</v>
      </c>
      <c r="B85" s="66"/>
      <c r="C85" s="66"/>
      <c r="D85" s="66"/>
      <c r="E85" s="66"/>
      <c r="F85" s="66"/>
      <c r="G85" s="127"/>
      <c r="H85" s="127"/>
      <c r="I85" s="66"/>
      <c r="J85" s="66"/>
      <c r="K85" s="66"/>
      <c r="L85" s="66"/>
      <c r="M85" s="67"/>
      <c r="N85"/>
      <c r="O85"/>
      <c r="P85"/>
      <c r="Q85"/>
      <c r="R85"/>
      <c r="S85"/>
      <c r="T85"/>
      <c r="U85"/>
      <c r="V85"/>
      <c r="W85"/>
      <c r="X85"/>
      <c r="Y85"/>
      <c r="Z85"/>
      <c r="AA85"/>
      <c r="AB85"/>
      <c r="AC85"/>
      <c r="AD85"/>
      <c r="AE85"/>
      <c r="AF85"/>
      <c r="AG85"/>
      <c r="AH85"/>
      <c r="AI85"/>
      <c r="AJ85"/>
      <c r="AK85"/>
      <c r="AL85"/>
      <c r="AM85"/>
      <c r="AN85"/>
      <c r="AO85"/>
      <c r="AP85"/>
      <c r="AQ85"/>
      <c r="AR85"/>
      <c r="AS85"/>
      <c r="AT85"/>
      <c r="AU85"/>
      <c r="AV85"/>
      <c r="AW85"/>
      <c r="AX85"/>
      <c r="AY85"/>
      <c r="AZ85"/>
      <c r="BA85"/>
      <c r="BB85"/>
      <c r="BC85"/>
      <c r="BD85"/>
      <c r="BE85"/>
      <c r="BF85"/>
      <c r="BG85"/>
      <c r="BH85"/>
      <c r="BI85"/>
      <c r="BJ85"/>
      <c r="BK85"/>
      <c r="BL85"/>
      <c r="BM85"/>
      <c r="BN85"/>
      <c r="BO85"/>
      <c r="BP85"/>
      <c r="BQ85"/>
      <c r="BR85"/>
      <c r="BS85"/>
      <c r="BT85"/>
      <c r="BU85"/>
      <c r="BV85"/>
      <c r="BW85"/>
      <c r="BX85"/>
      <c r="BY85"/>
      <c r="BZ85"/>
      <c r="CA85"/>
      <c r="CB85"/>
      <c r="CC85"/>
      <c r="CD85"/>
      <c r="CE85"/>
      <c r="CF85"/>
      <c r="CG85"/>
      <c r="CH85"/>
      <c r="CI85"/>
      <c r="CJ85"/>
      <c r="CK85"/>
      <c r="CL85"/>
      <c r="CM85"/>
      <c r="CN85"/>
      <c r="CO85"/>
      <c r="CP85"/>
      <c r="CQ85"/>
      <c r="CR85"/>
      <c r="CS85"/>
      <c r="CT85"/>
      <c r="CU85"/>
      <c r="CV85"/>
      <c r="CW85"/>
      <c r="CX85"/>
      <c r="CY85"/>
      <c r="CZ85"/>
      <c r="DA85"/>
      <c r="DB85"/>
      <c r="DC85"/>
      <c r="DD85"/>
    </row>
    <row r="86" spans="1:108" x14ac:dyDescent="0.3">
      <c r="A86" s="60" t="s">
        <v>282</v>
      </c>
      <c r="B86" s="68">
        <v>21959</v>
      </c>
      <c r="C86" s="68">
        <v>50060</v>
      </c>
      <c r="D86" s="68">
        <v>9486</v>
      </c>
      <c r="E86" s="68">
        <v>47960</v>
      </c>
      <c r="F86" s="68">
        <v>54812</v>
      </c>
      <c r="G86" s="121"/>
      <c r="H86" s="121"/>
      <c r="I86" s="68">
        <f ca="1">$G$92/$G$97*SUM('Model- Income statement'!$G$27:$G$29)</f>
        <v>28039.01719872835</v>
      </c>
      <c r="J86" s="68">
        <f ca="1">$G$92/$G$97*SUM('Model- Income statement'!H27:H29)</f>
        <v>4750.6141597331698</v>
      </c>
      <c r="K86" s="68">
        <f ca="1">$G$92/$G$97*SUM('Model- Income statement'!I27:I29)</f>
        <v>24966.020126403248</v>
      </c>
      <c r="L86" s="68">
        <f ca="1">$G$92/$G$97*SUM('Model- Income statement'!J27:J29)</f>
        <v>27159.240089408868</v>
      </c>
      <c r="M86" s="69">
        <f ca="1">$G$92/$G$97*SUM('Model- Income statement'!K27:K29)</f>
        <v>34853.460036327342</v>
      </c>
    </row>
    <row r="87" spans="1:108" x14ac:dyDescent="0.3">
      <c r="A87" s="60" t="s">
        <v>283</v>
      </c>
      <c r="B87" s="68">
        <v>2755</v>
      </c>
      <c r="C87" s="68">
        <v>2969</v>
      </c>
      <c r="D87" s="68">
        <v>2803</v>
      </c>
      <c r="E87" s="68">
        <v>3450</v>
      </c>
      <c r="F87" s="68">
        <v>4698</v>
      </c>
      <c r="G87" s="121"/>
      <c r="H87" s="121"/>
      <c r="I87" s="68">
        <f ca="1">G93/$G$97*SUM('Model- Income statement'!$G$27:$G$29)</f>
        <v>2548.6987631492839</v>
      </c>
      <c r="J87" s="68">
        <f ca="1">G93/$G$97*SUM('Model- Income statement'!H28:H30)</f>
        <v>27.572619591387799</v>
      </c>
      <c r="K87" s="68">
        <f ca="1">G93/$G$97*SUM('Model- Income statement'!I28:I30)</f>
        <v>402.56255085262188</v>
      </c>
      <c r="L87" s="68">
        <f ca="1">G93/$G$97*SUM('Model- Income statement'!J28:J30)</f>
        <v>433.48886112056897</v>
      </c>
      <c r="M87" s="69">
        <f ca="1">G93/$G$97*SUM('Model- Income statement'!K28:K30)</f>
        <v>566.40841091040124</v>
      </c>
    </row>
    <row r="88" spans="1:108" x14ac:dyDescent="0.3">
      <c r="A88" s="60" t="s">
        <v>284</v>
      </c>
      <c r="B88" s="68">
        <v>11085</v>
      </c>
      <c r="C88" s="68">
        <v>15899</v>
      </c>
      <c r="D88" s="68">
        <v>19064</v>
      </c>
      <c r="E88" s="68">
        <v>13701</v>
      </c>
      <c r="F88" s="68">
        <v>20776</v>
      </c>
      <c r="G88" s="121"/>
      <c r="H88" s="121"/>
      <c r="I88" s="68">
        <f ca="1">G94/$G$97*SUM('Model- Income statement'!$G$27:$G$29)</f>
        <v>12307.523491894277</v>
      </c>
      <c r="J88" s="61">
        <f ca="1">G94/$G$97*SUM('Model- Income statement'!H29:H31)</f>
        <v>243.14078195276809</v>
      </c>
      <c r="K88" s="68">
        <f ca="1">G94/$G$97*SUM('Model- Income statement'!I29:I31)</f>
        <v>2061.7705177194894</v>
      </c>
      <c r="L88" s="68">
        <f ca="1">G94/$G$97*SUM('Model- Income statement'!J29:J31)</f>
        <v>2220.9478973531968</v>
      </c>
      <c r="M88" s="69">
        <f ca="1">G94/$G$97*SUM('Model- Income statement'!K29:K31)</f>
        <v>2875.0915200371865</v>
      </c>
    </row>
    <row r="89" spans="1:108" x14ac:dyDescent="0.3">
      <c r="A89" s="60" t="s">
        <v>285</v>
      </c>
      <c r="B89" s="68">
        <v>3335</v>
      </c>
      <c r="C89" s="68">
        <v>4006</v>
      </c>
      <c r="D89" s="68">
        <v>2713</v>
      </c>
      <c r="E89" s="68">
        <v>3974</v>
      </c>
      <c r="F89" s="68">
        <v>4904</v>
      </c>
      <c r="G89" s="121"/>
      <c r="H89" s="121"/>
      <c r="I89" s="68">
        <f ca="1">G95/$G$97*SUM('Model- Income statement'!$G$27:$G$29)</f>
        <v>2909.4429288818842</v>
      </c>
      <c r="J89" s="68">
        <f ca="1">G95/$G$97*SUM('Model- Income statement'!H30:H32)</f>
        <v>287.03705150903329</v>
      </c>
      <c r="K89" s="68">
        <f ca="1">G95/$G$97*SUM('Model- Income statement'!I30:I32)</f>
        <v>719.43103810516152</v>
      </c>
      <c r="L89" s="68">
        <f ca="1">G95/$G$97*SUM('Model- Income statement'!J30:J32)</f>
        <v>763.07907976984211</v>
      </c>
      <c r="M89" s="69">
        <f ca="1">G95/$G$97*SUM('Model- Income statement'!K30:K32)</f>
        <v>927.93806029451048</v>
      </c>
    </row>
    <row r="90" spans="1:108" ht="16.2" thickBot="1" x14ac:dyDescent="0.35">
      <c r="A90" s="65" t="s">
        <v>286</v>
      </c>
      <c r="B90" s="89">
        <v>0</v>
      </c>
      <c r="C90" s="89">
        <v>0</v>
      </c>
      <c r="D90" s="89">
        <v>15371</v>
      </c>
      <c r="E90" s="89">
        <v>0</v>
      </c>
      <c r="F90" s="89">
        <v>0</v>
      </c>
      <c r="G90" s="128"/>
      <c r="H90" s="128"/>
      <c r="I90" s="89">
        <f ca="1">G96/$G$97*SUM('Model- Income statement'!$G$27:$G$29)</f>
        <v>2443.7454917660129</v>
      </c>
      <c r="J90" s="89">
        <f ca="1">G96/$G$97*SUM('Model- Income statement'!H31:H33)</f>
        <v>234.6248684098328</v>
      </c>
      <c r="K90" s="89">
        <f ca="1">G96/$G$97*SUM('Model- Income statement'!I31:I33)</f>
        <v>574.40774805280671</v>
      </c>
      <c r="L90" s="89">
        <f ca="1">G96/$G$97*SUM('Model- Income statement'!J31:J33)</f>
        <v>608.37442962244052</v>
      </c>
      <c r="M90" s="90">
        <f ca="1">G96/$G$97*SUM('Model- Income statement'!K31:K33)</f>
        <v>737.78206553999519</v>
      </c>
    </row>
    <row r="91" spans="1:108" x14ac:dyDescent="0.3">
      <c r="A91" s="84" t="s">
        <v>287</v>
      </c>
      <c r="B91" s="66"/>
      <c r="C91" s="66"/>
      <c r="D91" s="66"/>
      <c r="E91" s="66"/>
      <c r="F91" s="66"/>
      <c r="G91" s="127"/>
      <c r="H91" s="127"/>
      <c r="I91" s="66"/>
      <c r="J91" s="66"/>
      <c r="K91" s="66"/>
      <c r="L91" s="66"/>
      <c r="M91" s="67"/>
    </row>
    <row r="92" spans="1:108" x14ac:dyDescent="0.3">
      <c r="A92" s="60" t="s">
        <v>288</v>
      </c>
      <c r="B92" s="63">
        <f>B86/SUM(Case!$B$28:$B$30)*$G$97</f>
        <v>50.032678718569755</v>
      </c>
      <c r="C92" s="63">
        <f>C86/SUM(Case!$C$28:$C$30)*$G$97</f>
        <v>104.47891769495557</v>
      </c>
      <c r="D92" s="63">
        <f>D86/SUM(Case!$D$28:$D$30)*$G$97</f>
        <v>20.26329958447943</v>
      </c>
      <c r="E92" s="63">
        <f>E86/SUM(Case!$E$28:$E$30)*$G$97</f>
        <v>110.83646217843598</v>
      </c>
      <c r="F92" s="63">
        <f>F86/SUM(Case!$F$28:$F$30)*$G$97</f>
        <v>91.123651800029151</v>
      </c>
      <c r="G92" s="212">
        <f>AVERAGE(B92:F92)</f>
        <v>75.347001995293979</v>
      </c>
      <c r="H92" s="121"/>
      <c r="I92" s="61"/>
      <c r="J92" s="61"/>
      <c r="K92" s="61"/>
      <c r="L92" s="61"/>
      <c r="M92" s="62"/>
    </row>
    <row r="93" spans="1:108" x14ac:dyDescent="0.3">
      <c r="A93" s="60" t="s">
        <v>289</v>
      </c>
      <c r="B93" s="63">
        <f>B87/SUM(Case!$B$28:$B$30)*$G$97</f>
        <v>6.2771542360608255</v>
      </c>
      <c r="C93" s="63">
        <f>C87/SUM(Case!$C$28:$C$30)*$G$97</f>
        <v>6.1965223059593111</v>
      </c>
      <c r="D93" s="63">
        <f>D87/SUM(Case!$D$28:$D$30)*$G$97</f>
        <v>5.9875636448762215</v>
      </c>
      <c r="E93" s="63">
        <f>E87/SUM(Case!$E$28:$E$30)*$G$97</f>
        <v>7.973014898156884</v>
      </c>
      <c r="F93" s="63">
        <f>F87/SUM(Case!$F$28:$F$30)*$G$97</f>
        <v>7.8103137297770004</v>
      </c>
      <c r="G93" s="212">
        <f>AVERAGE(B93:F93)</f>
        <v>6.848913762966049</v>
      </c>
      <c r="H93" s="121"/>
      <c r="I93" s="61"/>
      <c r="J93" s="61"/>
      <c r="K93" s="61"/>
      <c r="L93" s="61"/>
      <c r="M93" s="62"/>
    </row>
    <row r="94" spans="1:108" x14ac:dyDescent="0.3">
      <c r="A94" s="60" t="s">
        <v>284</v>
      </c>
      <c r="B94" s="63">
        <f>B88/SUM(Case!$B$28:$B$30)*$G$97</f>
        <v>25.256716771954355</v>
      </c>
      <c r="C94" s="63">
        <f>C88/SUM(Case!$C$28:$C$30)*$G$97</f>
        <v>33.182387383781432</v>
      </c>
      <c r="D94" s="63">
        <f>D88/SUM(Case!$D$28:$D$30)*$G$97</f>
        <v>40.72312284192661</v>
      </c>
      <c r="E94" s="63">
        <f>E88/SUM(Case!$E$28:$E$30)*$G$97</f>
        <v>31.663268730332597</v>
      </c>
      <c r="F94" s="63">
        <f>F88/SUM(Case!$F$28:$F$30)*$G$97</f>
        <v>34.539607928873345</v>
      </c>
      <c r="G94" s="212">
        <f t="shared" ref="G94:G95" si="10">AVERAGE(B94:F94)</f>
        <v>33.073020731373667</v>
      </c>
      <c r="H94" s="121"/>
      <c r="I94" s="61"/>
      <c r="J94" s="61"/>
      <c r="K94" s="61"/>
      <c r="L94" s="61"/>
      <c r="M94" s="62"/>
    </row>
    <row r="95" spans="1:108" x14ac:dyDescent="0.3">
      <c r="A95" s="60" t="s">
        <v>285</v>
      </c>
      <c r="B95" s="63">
        <f>B89/SUM(Case!$B$28:$B$30)*$G$97</f>
        <v>7.5986603910209993</v>
      </c>
      <c r="C95" s="63">
        <f>C89/SUM(Case!$C$28:$C$30)*$G$97</f>
        <v>8.360817904234759</v>
      </c>
      <c r="D95" s="63">
        <f>D89/SUM(Case!$D$28:$D$30)*$G$97</f>
        <v>5.7953122256686376</v>
      </c>
      <c r="E95" s="63">
        <f>E89/SUM(Case!$E$28:$E$30)*$G$97</f>
        <v>9.1839887551523045</v>
      </c>
      <c r="F95" s="63">
        <f>F89/SUM(Case!$F$28:$F$30)*$G$97</f>
        <v>8.1527838507506196</v>
      </c>
      <c r="G95" s="212">
        <f t="shared" si="10"/>
        <v>7.8183126253654649</v>
      </c>
      <c r="H95" s="121"/>
      <c r="I95" s="61"/>
      <c r="J95" s="61"/>
      <c r="K95" s="61"/>
      <c r="L95" s="61"/>
      <c r="M95" s="62"/>
    </row>
    <row r="96" spans="1:108" x14ac:dyDescent="0.3">
      <c r="A96" s="60" t="s">
        <v>286</v>
      </c>
      <c r="B96" s="63">
        <f>B90/SUM(Case!$B$28:$B$30)*$G$97</f>
        <v>0</v>
      </c>
      <c r="C96" s="63">
        <f>C90/SUM(Case!$C$28:$C$30)*$G$97</f>
        <v>0</v>
      </c>
      <c r="D96" s="63">
        <f>D90/SUM(Case!$D$28:$D$30)*$G$97</f>
        <v>32.834406273775386</v>
      </c>
      <c r="E96" s="63">
        <f>E90/SUM(Case!$E$28:$E$30)*$G$97</f>
        <v>0</v>
      </c>
      <c r="F96" s="63">
        <f>F90/SUM(Case!$F$28:$F$30)*$G$97</f>
        <v>0</v>
      </c>
      <c r="G96" s="212">
        <f>AVERAGE(B96:F96)</f>
        <v>6.566881254755077</v>
      </c>
      <c r="H96" s="121"/>
      <c r="I96" s="61"/>
      <c r="J96" s="61"/>
      <c r="K96" s="61"/>
      <c r="L96" s="61"/>
      <c r="M96" s="62"/>
    </row>
    <row r="97" spans="1:26" x14ac:dyDescent="0.3">
      <c r="A97" s="65" t="s">
        <v>290</v>
      </c>
      <c r="B97" s="70"/>
      <c r="C97" s="70"/>
      <c r="D97" s="70"/>
      <c r="E97" s="70"/>
      <c r="F97" s="70"/>
      <c r="G97" s="128">
        <v>365</v>
      </c>
      <c r="H97" s="128"/>
      <c r="I97" s="70"/>
      <c r="J97" s="70"/>
      <c r="K97" s="70"/>
      <c r="L97" s="70"/>
      <c r="M97" s="71"/>
    </row>
    <row r="98" spans="1:26" ht="16.2" thickBot="1" x14ac:dyDescent="0.35">
      <c r="A98" s="110"/>
      <c r="B98" s="111"/>
      <c r="C98" s="111"/>
      <c r="D98" s="111"/>
      <c r="E98" s="111"/>
      <c r="F98" s="111"/>
      <c r="G98" s="130"/>
      <c r="H98" s="130"/>
      <c r="I98" s="111"/>
      <c r="J98" s="111"/>
      <c r="K98" s="111"/>
      <c r="L98" s="111"/>
      <c r="M98" s="100"/>
    </row>
    <row r="99" spans="1:26" x14ac:dyDescent="0.3">
      <c r="A99" s="276" t="s">
        <v>291</v>
      </c>
      <c r="B99" s="66"/>
      <c r="C99" s="66"/>
      <c r="D99" s="66"/>
      <c r="E99" s="66"/>
      <c r="F99" s="66"/>
      <c r="G99" s="127"/>
      <c r="H99" s="127"/>
      <c r="I99" s="66"/>
      <c r="J99" s="66"/>
      <c r="K99" s="66"/>
      <c r="L99" s="66"/>
      <c r="M99" s="67"/>
    </row>
    <row r="100" spans="1:26" x14ac:dyDescent="0.3">
      <c r="A100" s="277" t="s">
        <v>292</v>
      </c>
      <c r="B100" s="109">
        <f>Case!B61</f>
        <v>1202</v>
      </c>
      <c r="C100" s="109">
        <f>Case!C61</f>
        <v>0</v>
      </c>
      <c r="D100" s="109">
        <f>Case!D61</f>
        <v>701</v>
      </c>
      <c r="E100" s="109">
        <f>Case!E61</f>
        <v>23344</v>
      </c>
      <c r="F100" s="109">
        <f>Case!F61</f>
        <v>27403</v>
      </c>
      <c r="G100" s="240"/>
      <c r="H100" s="121"/>
      <c r="I100" s="61">
        <f>_xlfn.FORECAST.LINEAR(I3,B100:F100,B3:F3)</f>
        <v>33253.800000000745</v>
      </c>
      <c r="J100" s="61">
        <f>_xlfn.FORECAST.LINEAR(J3,C100:G100,C3:G3)</f>
        <v>49560.199999999255</v>
      </c>
      <c r="K100" s="61">
        <f>_xlfn.FORECAST.LINEAR(K3,D100:H100,D3:H3)</f>
        <v>70553.333333332092</v>
      </c>
      <c r="L100" s="61">
        <f>_xlfn.FORECAST.LINEAR(L3,E100:I100,E3:I3)</f>
        <v>47819.866666669026</v>
      </c>
      <c r="M100" s="62">
        <f>_xlfn.FORECAST.LINEAR(M3,F100:J100,F3:J3)</f>
        <v>81053.39999999851</v>
      </c>
    </row>
    <row r="101" spans="1:26" x14ac:dyDescent="0.3">
      <c r="A101" s="277" t="s">
        <v>293</v>
      </c>
      <c r="B101" s="63"/>
      <c r="C101" s="63">
        <f>Case!C18/(AVERAGE(Case!B62:C62))</f>
        <v>7.5168898030259053</v>
      </c>
      <c r="D101" s="63">
        <f>Case!D18/(AVERAGE(Case!C62:D62))</f>
        <v>7.072171992630282</v>
      </c>
      <c r="E101" s="63">
        <f>Case!E18/(AVERAGE(Case!D62:E62))</f>
        <v>9.6511567115409758</v>
      </c>
      <c r="F101" s="63">
        <f>Case!F18/(AVERAGE(Case!E62:F62))</f>
        <v>12.468382713026445</v>
      </c>
      <c r="G101" s="212">
        <f>AVERAGE(C101:F101)</f>
        <v>9.1771503050559016</v>
      </c>
      <c r="H101" s="121"/>
      <c r="I101" s="61"/>
      <c r="J101" s="61"/>
      <c r="K101" s="61"/>
      <c r="L101" s="61"/>
      <c r="M101" s="62"/>
    </row>
    <row r="102" spans="1:26" x14ac:dyDescent="0.3">
      <c r="A102" s="277" t="s">
        <v>294</v>
      </c>
      <c r="B102" s="267">
        <f>Case!B66/Case!B18</f>
        <v>4.6760527489329171E-2</v>
      </c>
      <c r="C102" s="267">
        <f>Case!C66/Case!C18</f>
        <v>5.8246853313547287E-2</v>
      </c>
      <c r="D102" s="267">
        <f>Case!D66/Case!D18</f>
        <v>6.4477393575724531E-2</v>
      </c>
      <c r="E102" s="267">
        <f>Case!E66/Case!E18</f>
        <v>5.2954997900895168E-2</v>
      </c>
      <c r="F102" s="267">
        <f>Case!F66/Case!F18</f>
        <v>5.0576016221245218E-2</v>
      </c>
      <c r="G102" s="195">
        <f>AVERAGE(B102:F102)</f>
        <v>5.4603157700148272E-2</v>
      </c>
      <c r="H102" s="121"/>
      <c r="I102" s="61"/>
      <c r="J102" s="61"/>
      <c r="K102" s="61"/>
      <c r="L102" s="61"/>
      <c r="M102" s="62"/>
    </row>
    <row r="103" spans="1:26" s="56" customFormat="1" x14ac:dyDescent="0.3">
      <c r="A103" s="277" t="s">
        <v>295</v>
      </c>
      <c r="B103" s="61"/>
      <c r="C103" s="61"/>
      <c r="D103" s="61"/>
      <c r="E103" s="61"/>
      <c r="F103" s="61"/>
      <c r="G103" s="121">
        <f>Case!F64</f>
        <v>479</v>
      </c>
      <c r="H103" s="121"/>
      <c r="I103" s="61"/>
      <c r="J103" s="61"/>
      <c r="K103" s="61"/>
      <c r="L103" s="61"/>
      <c r="M103" s="62"/>
      <c r="N103" s="3"/>
      <c r="O103" s="3"/>
      <c r="P103" s="3"/>
      <c r="Q103" s="3"/>
      <c r="R103" s="3"/>
      <c r="S103" s="3"/>
      <c r="T103" s="3"/>
      <c r="U103" s="3"/>
      <c r="V103" s="3"/>
      <c r="W103" s="3"/>
      <c r="X103" s="3"/>
      <c r="Y103" s="3"/>
      <c r="Z103" s="3"/>
    </row>
    <row r="104" spans="1:26" ht="16.2" thickBot="1" x14ac:dyDescent="0.35">
      <c r="A104" s="278" t="s">
        <v>296</v>
      </c>
      <c r="B104" s="70"/>
      <c r="C104" s="70"/>
      <c r="D104" s="70"/>
      <c r="E104" s="70"/>
      <c r="F104" s="70"/>
      <c r="G104" s="128">
        <f>Case!F65</f>
        <v>4442</v>
      </c>
      <c r="H104" s="128"/>
      <c r="I104" s="70"/>
      <c r="J104" s="70"/>
      <c r="K104" s="70"/>
      <c r="L104" s="70"/>
      <c r="M104" s="71"/>
    </row>
    <row r="105" spans="1:26" ht="16.2" thickBot="1" x14ac:dyDescent="0.35">
      <c r="A105" s="110"/>
      <c r="B105" s="111"/>
      <c r="C105" s="111"/>
      <c r="D105" s="111"/>
      <c r="E105" s="111"/>
      <c r="F105" s="111"/>
      <c r="G105" s="130"/>
      <c r="H105" s="130"/>
      <c r="I105" s="111"/>
      <c r="J105" s="111"/>
      <c r="K105" s="111"/>
      <c r="L105" s="111"/>
      <c r="M105" s="100"/>
    </row>
    <row r="106" spans="1:26" ht="17.399999999999999" x14ac:dyDescent="0.3">
      <c r="A106" s="59" t="s">
        <v>297</v>
      </c>
      <c r="B106" s="66"/>
      <c r="C106" s="66"/>
      <c r="D106" s="66"/>
      <c r="E106" s="66"/>
      <c r="F106" s="66"/>
      <c r="G106" s="127"/>
      <c r="H106" s="127"/>
      <c r="I106" s="66"/>
      <c r="J106" s="66"/>
      <c r="K106" s="66"/>
      <c r="L106" s="66"/>
      <c r="M106" s="67"/>
    </row>
    <row r="107" spans="1:26" x14ac:dyDescent="0.3">
      <c r="A107" s="60" t="s">
        <v>298</v>
      </c>
      <c r="B107" s="285">
        <v>5</v>
      </c>
      <c r="C107" s="285">
        <v>5</v>
      </c>
      <c r="D107" s="285">
        <v>5</v>
      </c>
      <c r="E107" s="285">
        <v>5</v>
      </c>
      <c r="F107" s="285">
        <v>1</v>
      </c>
      <c r="G107" s="286"/>
      <c r="H107" s="286"/>
      <c r="I107" s="285">
        <v>1</v>
      </c>
      <c r="J107" s="285">
        <v>1</v>
      </c>
      <c r="K107" s="285">
        <v>1</v>
      </c>
      <c r="L107" s="285">
        <v>1</v>
      </c>
      <c r="M107" s="287">
        <v>1</v>
      </c>
    </row>
    <row r="108" spans="1:26" x14ac:dyDescent="0.3">
      <c r="A108" s="60" t="s">
        <v>299</v>
      </c>
      <c r="B108" s="68">
        <v>739</v>
      </c>
      <c r="C108" s="68">
        <f>B110</f>
        <v>739</v>
      </c>
      <c r="D108" s="68">
        <f>C110</f>
        <v>725.65</v>
      </c>
      <c r="E108" s="68">
        <f>D110</f>
        <v>688.14215999999999</v>
      </c>
      <c r="F108" s="68">
        <f>E110*5</f>
        <v>3440.7107999999998</v>
      </c>
      <c r="G108" s="121"/>
      <c r="H108" s="121"/>
      <c r="I108" s="68">
        <f>F110</f>
        <v>3440.7107999999998</v>
      </c>
      <c r="J108" s="68">
        <f>I110</f>
        <v>3440.7107999999998</v>
      </c>
      <c r="K108" s="68">
        <f>J110</f>
        <v>3418.3507999999997</v>
      </c>
      <c r="L108" s="68">
        <f>K110</f>
        <v>3418.3507999999997</v>
      </c>
      <c r="M108" s="69">
        <f>L110</f>
        <v>3418.3507999999997</v>
      </c>
    </row>
    <row r="109" spans="1:26" x14ac:dyDescent="0.3">
      <c r="A109" s="60" t="s">
        <v>300</v>
      </c>
      <c r="B109" s="68">
        <v>0</v>
      </c>
      <c r="C109" s="68">
        <f>1335000/100000</f>
        <v>13.35</v>
      </c>
      <c r="D109" s="68">
        <f>3750784/100000</f>
        <v>37.507840000000002</v>
      </c>
      <c r="E109" s="68">
        <v>0</v>
      </c>
      <c r="F109" s="68">
        <v>0</v>
      </c>
      <c r="G109" s="131"/>
      <c r="H109" s="131"/>
      <c r="I109" s="61">
        <v>0</v>
      </c>
      <c r="J109" s="91">
        <f>2236000/100000</f>
        <v>22.36</v>
      </c>
      <c r="K109" s="61"/>
      <c r="L109" s="61"/>
      <c r="M109" s="62"/>
    </row>
    <row r="110" spans="1:26" x14ac:dyDescent="0.3">
      <c r="A110" s="92" t="s">
        <v>301</v>
      </c>
      <c r="B110" s="68">
        <f>B108-B109</f>
        <v>739</v>
      </c>
      <c r="C110" s="68">
        <f>C108-C109</f>
        <v>725.65</v>
      </c>
      <c r="D110" s="68">
        <f>D108-D109</f>
        <v>688.14215999999999</v>
      </c>
      <c r="E110" s="68">
        <f>E108-E109</f>
        <v>688.14215999999999</v>
      </c>
      <c r="F110" s="68">
        <f>F108-F109</f>
        <v>3440.7107999999998</v>
      </c>
      <c r="G110" s="131"/>
      <c r="H110" s="121"/>
      <c r="I110" s="68">
        <f>I108-I109</f>
        <v>3440.7107999999998</v>
      </c>
      <c r="J110" s="68">
        <f>J108-J109</f>
        <v>3418.3507999999997</v>
      </c>
      <c r="K110" s="68">
        <f>K108-K109</f>
        <v>3418.3507999999997</v>
      </c>
      <c r="L110" s="68">
        <f>L108-L109</f>
        <v>3418.3507999999997</v>
      </c>
      <c r="M110" s="69">
        <f>M108-M109</f>
        <v>3418.3507999999997</v>
      </c>
    </row>
    <row r="111" spans="1:26" x14ac:dyDescent="0.3">
      <c r="A111" s="93" t="s">
        <v>302</v>
      </c>
      <c r="B111" s="94">
        <f>B107*B110</f>
        <v>3695</v>
      </c>
      <c r="C111" s="94">
        <f>C107*C110</f>
        <v>3628.25</v>
      </c>
      <c r="D111" s="94">
        <f>D107*D110</f>
        <v>3440.7107999999998</v>
      </c>
      <c r="E111" s="94">
        <f>E107*E110</f>
        <v>3440.7107999999998</v>
      </c>
      <c r="F111" s="94">
        <f>F107*F110</f>
        <v>3440.7107999999998</v>
      </c>
      <c r="G111" s="121"/>
      <c r="H111" s="121"/>
      <c r="I111" s="94">
        <f>I107*I110</f>
        <v>3440.7107999999998</v>
      </c>
      <c r="J111" s="94">
        <f>J107*J110</f>
        <v>3418.3507999999997</v>
      </c>
      <c r="K111" s="94">
        <f>K107*K110</f>
        <v>3418.3507999999997</v>
      </c>
      <c r="L111" s="94">
        <f>L107*L110</f>
        <v>3418.3507999999997</v>
      </c>
      <c r="M111" s="95">
        <f>M107*M110</f>
        <v>3418.3507999999997</v>
      </c>
      <c r="P111"/>
      <c r="Q111"/>
      <c r="R111"/>
      <c r="S111"/>
      <c r="T111"/>
      <c r="U111"/>
      <c r="V111"/>
      <c r="W111"/>
      <c r="X111"/>
      <c r="Y111"/>
      <c r="Z111"/>
    </row>
    <row r="112" spans="1:26" x14ac:dyDescent="0.3">
      <c r="A112" s="60" t="s">
        <v>303</v>
      </c>
      <c r="B112" s="68">
        <f>Case!B41</f>
        <v>22497</v>
      </c>
      <c r="C112" s="68">
        <f>Case!C41</f>
        <v>28911</v>
      </c>
      <c r="D112" s="68">
        <f>Case!D41</f>
        <v>29461</v>
      </c>
      <c r="E112" s="68">
        <f>Case!E41</f>
        <v>43262</v>
      </c>
      <c r="F112" s="68">
        <f>Case!F41</f>
        <v>73080</v>
      </c>
      <c r="G112" s="121"/>
      <c r="H112" s="121"/>
      <c r="I112" s="68">
        <f ca="1">'Model- Income statement'!G40</f>
        <v>192473.14045927126</v>
      </c>
      <c r="J112" s="68">
        <f ca="1">'Model- Income statement'!H40</f>
        <v>352698.53613252932</v>
      </c>
      <c r="K112" s="68">
        <f ca="1">'Model- Income statement'!I40</f>
        <v>305067.94606833125</v>
      </c>
      <c r="L112" s="68">
        <f ca="1">'Model- Income statement'!J40</f>
        <v>359081.18736557837</v>
      </c>
      <c r="M112" s="69">
        <f ca="1">'Model- Income statement'!K40</f>
        <v>400311.4388341867</v>
      </c>
      <c r="P112"/>
      <c r="Q112"/>
      <c r="R112"/>
      <c r="S112"/>
      <c r="T112"/>
      <c r="U112"/>
      <c r="V112"/>
      <c r="W112"/>
      <c r="X112"/>
      <c r="Y112"/>
      <c r="Z112"/>
    </row>
    <row r="113" spans="1:26" x14ac:dyDescent="0.3">
      <c r="A113" s="96" t="s">
        <v>304</v>
      </c>
      <c r="B113" s="68">
        <f>544</f>
        <v>544</v>
      </c>
      <c r="C113" s="68">
        <v>554</v>
      </c>
      <c r="D113" s="68">
        <v>3124</v>
      </c>
      <c r="E113" s="68">
        <v>3096</v>
      </c>
      <c r="F113" s="68">
        <v>516</v>
      </c>
      <c r="G113" s="263"/>
      <c r="H113" s="121"/>
      <c r="I113" s="68">
        <f ca="1">$G$114*I112</f>
        <v>43306.456603336039</v>
      </c>
      <c r="J113" s="68">
        <f ca="1">$G$114*J112</f>
        <v>79357.170629819098</v>
      </c>
      <c r="K113" s="68">
        <f ca="1">$G$114*K112</f>
        <v>68640.287865374528</v>
      </c>
      <c r="L113" s="68">
        <f ca="1">$G$114*L112</f>
        <v>80793.267157255133</v>
      </c>
      <c r="M113" s="69">
        <f ca="1">$G$114*M112</f>
        <v>90070.073737692015</v>
      </c>
      <c r="N113" s="264"/>
      <c r="P113"/>
      <c r="Q113"/>
      <c r="R113"/>
      <c r="S113"/>
      <c r="T113"/>
      <c r="U113"/>
      <c r="V113"/>
      <c r="W113"/>
      <c r="X113"/>
      <c r="Y113"/>
      <c r="Z113"/>
    </row>
    <row r="114" spans="1:26" x14ac:dyDescent="0.3">
      <c r="A114" s="60" t="s">
        <v>305</v>
      </c>
      <c r="B114" s="64"/>
      <c r="C114" s="64"/>
      <c r="D114" s="64"/>
      <c r="E114" s="64"/>
      <c r="F114" s="64"/>
      <c r="G114" s="124">
        <f>(20%+25%)/2</f>
        <v>0.22500000000000001</v>
      </c>
      <c r="H114" s="121"/>
      <c r="I114" s="68"/>
      <c r="J114" s="68"/>
      <c r="K114" s="68"/>
      <c r="L114" s="68"/>
      <c r="M114" s="69"/>
      <c r="P114"/>
      <c r="Q114"/>
      <c r="R114"/>
      <c r="S114"/>
      <c r="T114"/>
      <c r="U114"/>
      <c r="V114"/>
      <c r="W114"/>
      <c r="X114"/>
      <c r="Y114"/>
      <c r="Z114"/>
    </row>
    <row r="115" spans="1:26" x14ac:dyDescent="0.3">
      <c r="A115" s="92" t="s">
        <v>306</v>
      </c>
      <c r="B115" s="94">
        <f>Case!B73</f>
        <v>129977</v>
      </c>
      <c r="C115" s="94">
        <f>Case!C73</f>
        <v>147492</v>
      </c>
      <c r="D115" s="94">
        <f>Case!D73</f>
        <v>147047</v>
      </c>
      <c r="E115" s="94">
        <f>Case!E73</f>
        <v>187213</v>
      </c>
      <c r="F115" s="94">
        <f>Case!F73</f>
        <v>259777</v>
      </c>
      <c r="G115" s="121"/>
      <c r="H115" s="121"/>
      <c r="I115" s="94">
        <f ca="1">F115+(I112-I113)-(804*J109)</f>
        <v>390966.24385593523</v>
      </c>
      <c r="J115" s="94">
        <f ca="1">I115+(J112-J113)</f>
        <v>664307.60935864551</v>
      </c>
      <c r="K115" s="94">
        <f ca="1">J115+(K112-K113)</f>
        <v>900735.26756160217</v>
      </c>
      <c r="L115" s="94">
        <f ca="1">K115+(L112-L113)</f>
        <v>1179023.1877699255</v>
      </c>
      <c r="M115" s="95">
        <f ca="1">L115+(M112-M113)</f>
        <v>1489264.5528664202</v>
      </c>
      <c r="P115"/>
      <c r="Q115"/>
      <c r="R115"/>
      <c r="S115"/>
      <c r="T115"/>
      <c r="U115"/>
      <c r="V115"/>
      <c r="W115"/>
      <c r="X115"/>
      <c r="Y115"/>
      <c r="Z115"/>
    </row>
    <row r="116" spans="1:26" x14ac:dyDescent="0.3">
      <c r="A116" s="97" t="s">
        <v>307</v>
      </c>
      <c r="B116" s="98">
        <f>B111+B115</f>
        <v>133672</v>
      </c>
      <c r="C116" s="98">
        <f>C111+C115</f>
        <v>151120.25</v>
      </c>
      <c r="D116" s="98">
        <f>D111+D115</f>
        <v>150487.7108</v>
      </c>
      <c r="E116" s="98">
        <f>E111+E115</f>
        <v>190653.7108</v>
      </c>
      <c r="F116" s="98">
        <f>F111+F115</f>
        <v>263217.7108</v>
      </c>
      <c r="G116" s="128"/>
      <c r="H116" s="128"/>
      <c r="I116" s="98">
        <f ca="1">I111+I115</f>
        <v>394406.95465593523</v>
      </c>
      <c r="J116" s="98">
        <f ca="1">J111+J115</f>
        <v>667725.96015864552</v>
      </c>
      <c r="K116" s="98">
        <f ca="1">K111+K115</f>
        <v>904153.61836160219</v>
      </c>
      <c r="L116" s="98">
        <f ca="1">L111+L115</f>
        <v>1182441.5385699254</v>
      </c>
      <c r="M116" s="99">
        <f ca="1">M111+M115</f>
        <v>1492682.9036664201</v>
      </c>
      <c r="P116"/>
      <c r="Q116"/>
      <c r="R116"/>
      <c r="S116"/>
      <c r="T116"/>
      <c r="U116"/>
      <c r="V116"/>
      <c r="W116"/>
      <c r="X116"/>
      <c r="Y116"/>
      <c r="Z116"/>
    </row>
    <row r="117" spans="1:26" s="51" customFormat="1" x14ac:dyDescent="0.3">
      <c r="A117" s="114"/>
      <c r="B117" s="113"/>
      <c r="C117" s="113"/>
      <c r="D117" s="113"/>
      <c r="E117" s="113"/>
      <c r="F117" s="113"/>
      <c r="G117" s="241"/>
      <c r="H117" s="241"/>
      <c r="I117" s="113"/>
      <c r="J117" s="113"/>
      <c r="K117" s="113"/>
      <c r="L117" s="113"/>
      <c r="M117" s="115"/>
      <c r="P117"/>
      <c r="Q117"/>
      <c r="R117"/>
      <c r="S117"/>
      <c r="T117"/>
      <c r="U117"/>
      <c r="V117"/>
      <c r="W117"/>
      <c r="X117"/>
      <c r="Y117"/>
      <c r="Z117"/>
    </row>
    <row r="118" spans="1:26" x14ac:dyDescent="0.3">
      <c r="A118" s="112" t="s">
        <v>210</v>
      </c>
      <c r="B118" s="66"/>
      <c r="C118" s="66"/>
      <c r="D118" s="66"/>
      <c r="E118" s="66"/>
      <c r="F118" s="66"/>
      <c r="G118" s="127"/>
      <c r="H118" s="127"/>
      <c r="I118" s="66"/>
      <c r="J118" s="66"/>
      <c r="K118" s="66"/>
      <c r="L118" s="66"/>
      <c r="M118" s="67"/>
    </row>
    <row r="119" spans="1:26" x14ac:dyDescent="0.3">
      <c r="A119" s="60" t="s">
        <v>211</v>
      </c>
      <c r="B119" s="61"/>
      <c r="C119" s="61"/>
      <c r="D119" s="61"/>
      <c r="E119" s="61"/>
      <c r="F119" s="61"/>
      <c r="G119" s="121"/>
      <c r="H119" s="121"/>
      <c r="I119" s="61"/>
      <c r="J119" s="61"/>
      <c r="K119" s="61"/>
      <c r="L119" s="61"/>
      <c r="M119" s="62"/>
    </row>
    <row r="120" spans="1:26" x14ac:dyDescent="0.3">
      <c r="A120" s="60" t="s">
        <v>212</v>
      </c>
      <c r="B120" s="267">
        <f>Case!B78/Case!B49</f>
        <v>0.11715026146513027</v>
      </c>
      <c r="C120" s="267">
        <f>Case!C78/Case!C49</f>
        <v>0.10323368983283575</v>
      </c>
      <c r="D120" s="267">
        <f>Case!D78/Case!D49</f>
        <v>7.6937297084955697E-2</v>
      </c>
      <c r="E120" s="267">
        <f>Case!E78/Case!E49</f>
        <v>1.2424698795180723E-2</v>
      </c>
      <c r="F120" s="267">
        <f>Case!F78/Case!F49</f>
        <v>3.6715502232539411E-4</v>
      </c>
      <c r="G120" s="124">
        <f>AVERAGE(B120:F120)</f>
        <v>6.2022620440085566E-2</v>
      </c>
      <c r="H120" s="121"/>
      <c r="I120" s="61"/>
      <c r="J120" s="61"/>
      <c r="K120" s="61"/>
      <c r="L120" s="61"/>
      <c r="M120" s="62"/>
    </row>
    <row r="121" spans="1:26" x14ac:dyDescent="0.3">
      <c r="A121" s="60" t="s">
        <v>213</v>
      </c>
      <c r="B121" s="68"/>
      <c r="C121" s="68"/>
      <c r="D121" s="68"/>
      <c r="E121" s="68"/>
      <c r="F121" s="68"/>
      <c r="G121" s="121">
        <f>Case!F79</f>
        <v>4368</v>
      </c>
      <c r="H121" s="121"/>
      <c r="I121" s="61"/>
      <c r="J121" s="61"/>
      <c r="K121" s="61"/>
      <c r="L121" s="61"/>
      <c r="M121" s="62"/>
    </row>
    <row r="122" spans="1:26" x14ac:dyDescent="0.3">
      <c r="A122" s="65" t="s">
        <v>214</v>
      </c>
      <c r="B122" s="270">
        <f>Case!B80/Case!B28</f>
        <v>0</v>
      </c>
      <c r="C122" s="270">
        <f>Case!C80/Case!C28</f>
        <v>0</v>
      </c>
      <c r="D122" s="268">
        <f>Case!D80/Case!D28</f>
        <v>4.1292575594908037E-5</v>
      </c>
      <c r="E122" s="268">
        <f>Case!E80/Case!E28</f>
        <v>2.901662652699997E-5</v>
      </c>
      <c r="F122" s="268">
        <f>Case!F80/Case!F28</f>
        <v>1.3165112452002195E-5</v>
      </c>
      <c r="G122" s="269">
        <f>AVERAGE(D122:F122)</f>
        <v>2.7824771524636733E-5</v>
      </c>
      <c r="H122" s="128"/>
      <c r="I122" s="70"/>
      <c r="J122" s="70"/>
      <c r="K122" s="70"/>
      <c r="L122" s="70"/>
      <c r="M122" s="71"/>
    </row>
    <row r="123" spans="1:26" x14ac:dyDescent="0.3">
      <c r="A123" s="235"/>
      <c r="B123" s="236"/>
      <c r="C123" s="236"/>
      <c r="D123" s="236"/>
      <c r="E123" s="236"/>
      <c r="F123" s="236"/>
      <c r="G123" s="237"/>
      <c r="H123" s="237"/>
      <c r="I123" s="236"/>
      <c r="J123" s="236"/>
      <c r="K123" s="236"/>
      <c r="L123" s="236"/>
      <c r="M123" s="238"/>
    </row>
    <row r="124" spans="1:26" x14ac:dyDescent="0.3">
      <c r="A124" s="460" t="s">
        <v>216</v>
      </c>
      <c r="B124" s="450"/>
      <c r="C124" s="450"/>
      <c r="D124" s="450"/>
      <c r="E124" s="450"/>
      <c r="F124" s="450"/>
      <c r="G124" s="461"/>
      <c r="H124" s="461"/>
      <c r="I124" s="450"/>
      <c r="J124" s="450"/>
      <c r="K124" s="450"/>
      <c r="L124" s="450"/>
      <c r="M124" s="451"/>
    </row>
    <row r="125" spans="1:26" x14ac:dyDescent="0.3">
      <c r="A125" s="454" t="s">
        <v>211</v>
      </c>
      <c r="B125" s="61"/>
      <c r="C125" s="61"/>
      <c r="D125" s="61"/>
      <c r="E125" s="61"/>
      <c r="F125" s="61"/>
      <c r="G125" s="121"/>
      <c r="H125" s="121"/>
      <c r="I125" s="61"/>
      <c r="J125" s="61"/>
      <c r="K125" s="61"/>
      <c r="L125" s="61"/>
      <c r="M125" s="462"/>
    </row>
    <row r="126" spans="1:26" x14ac:dyDescent="0.3">
      <c r="A126" s="454" t="s">
        <v>212</v>
      </c>
      <c r="B126" s="266">
        <f>Case!B84/Case!B89</f>
        <v>0.52477638023408213</v>
      </c>
      <c r="C126" s="266">
        <f>Case!C84/Case!C89</f>
        <v>0.73905946886079332</v>
      </c>
      <c r="D126" s="266">
        <f>Case!D84/Case!D89</f>
        <v>0.70156054821513403</v>
      </c>
      <c r="E126" s="266">
        <f>Case!E84/Case!E89</f>
        <v>0.58133875781829247</v>
      </c>
      <c r="F126" s="266">
        <f>Case!F84/Case!F89</f>
        <v>0.61160099604511498</v>
      </c>
      <c r="G126" s="196">
        <f>AVERAGE(B126:F126)</f>
        <v>0.63166723023468341</v>
      </c>
      <c r="H126" s="121"/>
      <c r="I126" s="61"/>
      <c r="J126" s="61"/>
      <c r="K126" s="61"/>
      <c r="L126" s="61"/>
      <c r="M126" s="462"/>
    </row>
    <row r="127" spans="1:26" x14ac:dyDescent="0.3">
      <c r="A127" s="454" t="s">
        <v>308</v>
      </c>
      <c r="B127" s="63"/>
      <c r="C127" s="63">
        <f>Case!C28/AVERAGE(Case!B85:C85)</f>
        <v>13.78704164910533</v>
      </c>
      <c r="D127" s="63">
        <f>Case!D28/AVERAGE(Case!C85:D85)</f>
        <v>14.789914500087244</v>
      </c>
      <c r="E127" s="63">
        <f>Case!E28/AVERAGE(Case!D85:E85)</f>
        <v>13.135642479393969</v>
      </c>
      <c r="F127" s="63">
        <f>Case!F28/AVERAGE(Case!E85:F85)</f>
        <v>19.970641076201744</v>
      </c>
      <c r="G127" s="212">
        <f>AVERAGE(C127:F127)</f>
        <v>15.420809926197073</v>
      </c>
      <c r="H127" s="121"/>
      <c r="I127" s="61"/>
      <c r="J127" s="61"/>
      <c r="K127" s="61"/>
      <c r="L127" s="61"/>
      <c r="M127" s="462"/>
    </row>
    <row r="128" spans="1:26" x14ac:dyDescent="0.3">
      <c r="A128" s="454" t="s">
        <v>218</v>
      </c>
      <c r="B128" s="63">
        <f>Case!B86</f>
        <v>3150</v>
      </c>
      <c r="C128" s="63">
        <f>Case!C86</f>
        <v>3192</v>
      </c>
      <c r="D128" s="63">
        <f>Case!D86</f>
        <v>3592</v>
      </c>
      <c r="E128" s="63">
        <f>Case!E86</f>
        <v>5020</v>
      </c>
      <c r="F128" s="63">
        <f>Case!F86</f>
        <v>43</v>
      </c>
      <c r="G128" s="212"/>
      <c r="H128" s="121"/>
      <c r="I128" s="61">
        <f>_xlfn.FORECAST.LINEAR(I3,$B$128:$E$128,$B$3:$E$3)</f>
        <v>5842</v>
      </c>
      <c r="J128" s="61">
        <f>_xlfn.FORECAST.LINEAR(J3,$B$128:$E$128,$B$3:$E$3)</f>
        <v>6443</v>
      </c>
      <c r="K128" s="61">
        <f>_xlfn.FORECAST.LINEAR(K3,$B$128:$E$128,$B$3:$E$3)</f>
        <v>7044</v>
      </c>
      <c r="L128" s="61">
        <f>_xlfn.FORECAST.LINEAR(L3,$B$128:$E$128,$B$3:$E$3)</f>
        <v>7645</v>
      </c>
      <c r="M128" s="462">
        <f>_xlfn.FORECAST.LINEAR(M3,$B$128:$E$128,$B$3:$E$3)</f>
        <v>8246</v>
      </c>
    </row>
    <row r="129" spans="1:15" x14ac:dyDescent="0.3">
      <c r="A129" s="454" t="s">
        <v>219</v>
      </c>
      <c r="B129" s="64">
        <f>Case!B87/Case!B28</f>
        <v>2.2840281951805912E-2</v>
      </c>
      <c r="C129" s="64">
        <f>Case!C87/Case!C28</f>
        <v>1.6202185488622341E-2</v>
      </c>
      <c r="D129" s="64">
        <f>Case!D87/Case!D28</f>
        <v>1.4635268578709547E-2</v>
      </c>
      <c r="E129" s="64">
        <f>Case!E87/Case!E28</f>
        <v>3.0938978034413717E-2</v>
      </c>
      <c r="F129" s="64">
        <f>Case!F87/Case!F28</f>
        <v>5.4393856280855732E-2</v>
      </c>
      <c r="G129" s="124">
        <f>AVERAGE(B129:F129)</f>
        <v>2.7802114066881451E-2</v>
      </c>
      <c r="H129" s="121"/>
      <c r="I129" s="61"/>
      <c r="J129" s="61"/>
      <c r="K129" s="61"/>
      <c r="L129" s="61"/>
      <c r="M129" s="462"/>
    </row>
    <row r="130" spans="1:15" ht="16.2" thickBot="1" x14ac:dyDescent="0.35">
      <c r="A130" s="455" t="s">
        <v>220</v>
      </c>
      <c r="B130" s="456"/>
      <c r="C130" s="456"/>
      <c r="D130" s="456"/>
      <c r="E130" s="456"/>
      <c r="F130" s="456"/>
      <c r="G130" s="463">
        <f>Case!F88</f>
        <v>1672</v>
      </c>
      <c r="H130" s="464"/>
      <c r="I130" s="458"/>
      <c r="J130" s="458"/>
      <c r="K130" s="458"/>
      <c r="L130" s="458"/>
      <c r="M130" s="459"/>
    </row>
    <row r="131" spans="1:15" x14ac:dyDescent="0.3">
      <c r="B131" s="273"/>
      <c r="C131" s="273"/>
      <c r="D131" s="273"/>
      <c r="E131" s="273"/>
      <c r="F131" s="273"/>
      <c r="G131" s="239"/>
    </row>
    <row r="132" spans="1:15" x14ac:dyDescent="0.3">
      <c r="B132" s="273"/>
      <c r="C132" s="273"/>
      <c r="D132" s="273"/>
      <c r="E132" s="273"/>
      <c r="F132" s="273"/>
      <c r="G132" s="239"/>
    </row>
    <row r="133" spans="1:15" ht="16.2" thickBot="1" x14ac:dyDescent="0.35">
      <c r="B133" s="273"/>
      <c r="C133" s="273"/>
      <c r="D133" s="273"/>
      <c r="E133" s="273"/>
      <c r="F133" s="273"/>
      <c r="G133" s="239"/>
    </row>
    <row r="134" spans="1:15" ht="23.4" thickBot="1" x14ac:dyDescent="0.45">
      <c r="A134" s="771" t="s">
        <v>471</v>
      </c>
      <c r="B134" s="772"/>
      <c r="C134" s="772"/>
      <c r="D134" s="772"/>
      <c r="E134" s="772"/>
      <c r="F134" s="772"/>
      <c r="G134" s="772"/>
      <c r="H134" s="772"/>
      <c r="I134" s="772"/>
      <c r="J134" s="772"/>
      <c r="K134" s="772"/>
      <c r="L134" s="772"/>
      <c r="M134" s="773"/>
    </row>
    <row r="135" spans="1:15" customFormat="1" ht="16.2" thickBot="1" x14ac:dyDescent="0.35">
      <c r="A135" s="485" t="s">
        <v>309</v>
      </c>
      <c r="B135" s="486">
        <f>AVERAGE(B108,B110)</f>
        <v>739</v>
      </c>
      <c r="C135" s="487">
        <f>AVERAGE(C108,C110)</f>
        <v>732.32500000000005</v>
      </c>
      <c r="D135" s="487">
        <f>AVERAGE(D108,D110)</f>
        <v>706.89607999999998</v>
      </c>
      <c r="E135" s="487">
        <f>AVERAGE(E108,E110)</f>
        <v>688.14215999999999</v>
      </c>
      <c r="F135" s="487">
        <f>AVERAGE(F108,F110)</f>
        <v>3440.7107999999998</v>
      </c>
      <c r="G135" s="488"/>
      <c r="H135" s="488"/>
      <c r="I135" s="487">
        <f>AVERAGE(I108,I110)</f>
        <v>3440.7107999999998</v>
      </c>
      <c r="J135" s="487">
        <f>AVERAGE(J108,J110)</f>
        <v>3429.5307999999995</v>
      </c>
      <c r="K135" s="487">
        <f>AVERAGE(K108,K110)</f>
        <v>3418.3507999999997</v>
      </c>
      <c r="L135" s="487">
        <f>AVERAGE(L108,L110)</f>
        <v>3418.3507999999997</v>
      </c>
      <c r="M135" s="489">
        <f>AVERAGE(M108,M110)</f>
        <v>3418.3507999999997</v>
      </c>
    </row>
    <row r="136" spans="1:15" customFormat="1" ht="16.2" thickBot="1" x14ac:dyDescent="0.35">
      <c r="A136" s="469"/>
      <c r="B136" s="2"/>
      <c r="C136" s="2"/>
      <c r="D136" s="2"/>
      <c r="E136" s="2"/>
      <c r="F136" s="2"/>
      <c r="G136" s="5"/>
      <c r="H136" s="5"/>
      <c r="I136" s="2"/>
      <c r="J136" s="2"/>
      <c r="K136" s="2"/>
      <c r="L136" s="2"/>
      <c r="M136" s="470"/>
    </row>
    <row r="137" spans="1:15" customFormat="1" x14ac:dyDescent="0.3">
      <c r="A137" s="465" t="s">
        <v>310</v>
      </c>
      <c r="B137" s="466">
        <f>126.51*5</f>
        <v>632.55000000000007</v>
      </c>
      <c r="C137" s="466">
        <f>114.42*5</f>
        <v>572.1</v>
      </c>
      <c r="D137" s="466">
        <f>67.36*5</f>
        <v>336.8</v>
      </c>
      <c r="E137" s="466">
        <f>211.93*5</f>
        <v>1059.6500000000001</v>
      </c>
      <c r="F137" s="466">
        <f>615.25*F107</f>
        <v>615.25</v>
      </c>
      <c r="G137" s="490">
        <f>AVERAGE(B137:F137)</f>
        <v>643.2700000000001</v>
      </c>
      <c r="H137" s="490"/>
      <c r="I137" s="467">
        <f>672.329131693434*I107</f>
        <v>672.32913169343396</v>
      </c>
      <c r="J137" s="467">
        <f>1269.61952648563*J107</f>
        <v>1269.6195264856301</v>
      </c>
      <c r="K137" s="467">
        <f>1099.19853890662*K107</f>
        <v>1099.1985389066199</v>
      </c>
      <c r="L137" s="467">
        <f>1302.98802278073*L107</f>
        <v>1302.98802278073</v>
      </c>
      <c r="M137" s="468">
        <f>1460.43757433183*M107</f>
        <v>1460.4375743318301</v>
      </c>
    </row>
    <row r="138" spans="1:15" customFormat="1" x14ac:dyDescent="0.3">
      <c r="A138" s="471" t="s">
        <v>311</v>
      </c>
      <c r="B138" s="274">
        <f>B137*B110</f>
        <v>467454.45000000007</v>
      </c>
      <c r="C138" s="274">
        <f>C137*C110</f>
        <v>415144.36499999999</v>
      </c>
      <c r="D138" s="274">
        <f>D137*D110</f>
        <v>231766.279488</v>
      </c>
      <c r="E138" s="274">
        <f>E137*E110</f>
        <v>729189.83984400006</v>
      </c>
      <c r="F138" s="274">
        <f>F137*F110</f>
        <v>2116897.3196999999</v>
      </c>
      <c r="G138" s="281">
        <f>AVERAGE(B138:F138)</f>
        <v>792090.45080640004</v>
      </c>
      <c r="H138" s="280"/>
      <c r="I138" s="279">
        <f>I137*I110</f>
        <v>2313290.1045722202</v>
      </c>
      <c r="J138" s="279">
        <f>J137*J110</f>
        <v>4340004.9240577742</v>
      </c>
      <c r="K138" s="279">
        <f>K137*K110</f>
        <v>3757446.2048302749</v>
      </c>
      <c r="L138" s="279">
        <f>L137*L110</f>
        <v>4454070.1500629261</v>
      </c>
      <c r="M138" s="472">
        <f>M137*M110</f>
        <v>4992287.9505672706</v>
      </c>
    </row>
    <row r="139" spans="1:15" customFormat="1" x14ac:dyDescent="0.3">
      <c r="A139" s="471" t="s">
        <v>312</v>
      </c>
      <c r="B139" s="274">
        <f>('Balance sheet'!B31-0)/Input!B110</f>
        <v>180.88227334235452</v>
      </c>
      <c r="C139" s="274">
        <f>('Balance sheet'!C31-0)/Input!C110</f>
        <v>208.2546682284848</v>
      </c>
      <c r="D139" s="274">
        <f>('Balance sheet'!D31-0)/Input!D110</f>
        <v>218.68737122573626</v>
      </c>
      <c r="E139" s="274">
        <f>('Balance sheet'!E31-0)/Input!E110</f>
        <v>277.05612456588915</v>
      </c>
      <c r="F139" s="274">
        <f>('Balance sheet'!F31-0)/Input!F110</f>
        <v>76.501053212609449</v>
      </c>
      <c r="G139" s="281"/>
      <c r="H139" s="280"/>
      <c r="I139" s="279"/>
      <c r="J139" s="279"/>
      <c r="K139" s="279"/>
      <c r="L139" s="279"/>
      <c r="M139" s="472"/>
    </row>
    <row r="140" spans="1:15" customFormat="1" x14ac:dyDescent="0.3">
      <c r="A140" s="471" t="s">
        <v>313</v>
      </c>
      <c r="B140" s="274">
        <f>'Model- Income statement'!B40/Input!B135</f>
        <v>30.442489851150203</v>
      </c>
      <c r="C140" s="274">
        <f>'Model- Income statement'!C40/Input!C135</f>
        <v>39.478373672891131</v>
      </c>
      <c r="D140" s="274">
        <f>'Model- Income statement'!D40/Input!D135</f>
        <v>41.676564396848825</v>
      </c>
      <c r="E140" s="274">
        <f>'Model- Income statement'!E40/Input!E135</f>
        <v>62.867823706659685</v>
      </c>
      <c r="F140" s="274">
        <f>'Model- Income statement'!F40/Input!F135</f>
        <v>21.239797311648513</v>
      </c>
      <c r="G140" s="281"/>
      <c r="H140" s="280"/>
      <c r="I140" s="279"/>
      <c r="J140" s="279"/>
      <c r="K140" s="279"/>
      <c r="L140" s="279"/>
      <c r="M140" s="472"/>
    </row>
    <row r="141" spans="1:15" customFormat="1" ht="16.2" thickBot="1" x14ac:dyDescent="0.35">
      <c r="A141" s="491" t="s">
        <v>314</v>
      </c>
      <c r="B141" s="492">
        <f>B137/B140</f>
        <v>20.778523803173758</v>
      </c>
      <c r="C141" s="492">
        <f t="shared" ref="C141:F141" si="11">C137/C140</f>
        <v>14.491478416519666</v>
      </c>
      <c r="D141" s="492">
        <f t="shared" si="11"/>
        <v>8.0812803280268835</v>
      </c>
      <c r="E141" s="492">
        <f t="shared" si="11"/>
        <v>16.855204101613428</v>
      </c>
      <c r="F141" s="492">
        <f t="shared" si="11"/>
        <v>28.966848928571427</v>
      </c>
      <c r="G141" s="493">
        <f>AVERAGE(B141:F141)</f>
        <v>17.834667115581034</v>
      </c>
      <c r="H141" s="494"/>
      <c r="I141" s="495"/>
      <c r="J141" s="495"/>
      <c r="K141" s="495"/>
      <c r="L141" s="495"/>
      <c r="M141" s="496"/>
    </row>
    <row r="142" spans="1:15" ht="16.2" thickBot="1" x14ac:dyDescent="0.35">
      <c r="A142" s="481"/>
      <c r="B142" s="482"/>
      <c r="C142" s="482"/>
      <c r="D142" s="482"/>
      <c r="E142" s="482"/>
      <c r="F142" s="482"/>
      <c r="G142" s="483"/>
      <c r="H142" s="483"/>
      <c r="I142" s="482"/>
      <c r="J142" s="482"/>
      <c r="K142" s="482"/>
      <c r="L142" s="482"/>
      <c r="M142" s="484"/>
    </row>
    <row r="143" spans="1:15" x14ac:dyDescent="0.3">
      <c r="A143" s="497" t="s">
        <v>315</v>
      </c>
      <c r="B143" s="498">
        <f>(B137*B108)+(Case!B78+Case!B84)-Case!B63</f>
        <v>498761.45000000007</v>
      </c>
      <c r="C143" s="498">
        <f>(C137*C108)+(Case!C78+Case!C84)-Case!C63</f>
        <v>480584.9</v>
      </c>
      <c r="D143" s="498">
        <f>(D137*D108)+(Case!D78+Case!D84)-Case!D63</f>
        <v>276400.92000000004</v>
      </c>
      <c r="E143" s="498">
        <f>(E137*E108)+(Case!E78+Case!E84)-Case!E63</f>
        <v>756255.83984400006</v>
      </c>
      <c r="F143" s="498">
        <f>(F137*F108)+(Case!F78+Case!F84)-Case!F63</f>
        <v>2149121.3196999999</v>
      </c>
      <c r="G143" s="499"/>
      <c r="H143" s="499"/>
      <c r="I143" s="500">
        <f ca="1">(Ratios!C19*Input!I110)+('Balance sheet'!G35+'Balance sheet'!G41)-'Balance sheet'!G20</f>
        <v>3320644.3002333571</v>
      </c>
      <c r="J143" s="498">
        <f ca="1">(Ratios!D19*Input!J110)+('Balance sheet'!H35+'Balance sheet'!H41)-'Balance sheet'!H20</f>
        <v>5892666.6156814042</v>
      </c>
      <c r="K143" s="498">
        <f ca="1">(Ratios!E19*Input!K110)+('Balance sheet'!I35+'Balance sheet'!I41)-'Balance sheet'!I20</f>
        <v>4814135.8299935553</v>
      </c>
      <c r="L143" s="498">
        <f ca="1">(Ratios!F19*Input!L110)+('Balance sheet'!J35+'Balance sheet'!J41)-'Balance sheet'!J20</f>
        <v>5589862.3577837283</v>
      </c>
      <c r="M143" s="501">
        <f ca="1">(Ratios!G19*Input!M110)+('Balance sheet'!K35+'Balance sheet'!K41)-'Balance sheet'!K20</f>
        <v>5978646.3526582625</v>
      </c>
      <c r="N143" s="272"/>
      <c r="O143" s="272"/>
    </row>
    <row r="144" spans="1:15" x14ac:dyDescent="0.3">
      <c r="A144" s="474" t="s">
        <v>316</v>
      </c>
      <c r="B144" s="284">
        <f>B143/Case!B26</f>
        <v>1.9733390702274978</v>
      </c>
      <c r="C144" s="284">
        <f>C143/Case!C26</f>
        <v>1.593504094963361</v>
      </c>
      <c r="D144" s="284">
        <f>D143/Case!D26</f>
        <v>0.94189161467083327</v>
      </c>
      <c r="E144" s="284">
        <f>E143/Case!E26</f>
        <v>2.5279310062976337</v>
      </c>
      <c r="F144" s="284">
        <f>F143/Case!F26</f>
        <v>5.168269051535483</v>
      </c>
      <c r="G144" s="246"/>
      <c r="H144" s="246"/>
      <c r="I144" s="283">
        <f ca="1">I143/'Model- Income statement'!G25</f>
        <v>7.1740841505306649</v>
      </c>
      <c r="J144" s="283">
        <f ca="1">J143/'Model- Income statement'!H25</f>
        <v>11.276752204163333</v>
      </c>
      <c r="K144" s="283">
        <f ca="1">K143/'Model- Income statement'!I25</f>
        <v>8.0906897321081264</v>
      </c>
      <c r="L144" s="283">
        <f ca="1">L143/'Model- Income statement'!J25</f>
        <v>8.1780448854111949</v>
      </c>
      <c r="M144" s="475">
        <f ca="1">M143/'Model- Income statement'!K25</f>
        <v>7.5473694332119141</v>
      </c>
      <c r="N144" s="272"/>
      <c r="O144" s="272"/>
    </row>
    <row r="145" spans="1:15" x14ac:dyDescent="0.3">
      <c r="A145" s="474" t="s">
        <v>317</v>
      </c>
      <c r="B145" s="284">
        <f>B143/B146</f>
        <v>14.667297456256435</v>
      </c>
      <c r="C145" s="284">
        <f>C143/C146</f>
        <v>10.712754954191837</v>
      </c>
      <c r="D145" s="284">
        <f>D143/D146</f>
        <v>6.707457775189285</v>
      </c>
      <c r="E145" s="284">
        <f>E143/E146</f>
        <v>12.511884582896283</v>
      </c>
      <c r="F145" s="284">
        <f>F143/F146</f>
        <v>21.645327931874949</v>
      </c>
      <c r="G145" s="246"/>
      <c r="H145" s="246"/>
      <c r="I145" s="283">
        <f ca="1">I143/I146</f>
        <v>12.598392160992502</v>
      </c>
      <c r="J145" s="283">
        <f ca="1">J143/J146</f>
        <v>12.224870057678626</v>
      </c>
      <c r="K145" s="283">
        <f ca="1">K143/K146</f>
        <v>11.539393593445496</v>
      </c>
      <c r="L145" s="283">
        <f ca="1">L143/L146</f>
        <v>11.38657468008029</v>
      </c>
      <c r="M145" s="475">
        <f ca="1">M143/M146</f>
        <v>10.924950845081119</v>
      </c>
      <c r="N145" s="272"/>
      <c r="O145" s="272"/>
    </row>
    <row r="146" spans="1:15" ht="16.2" thickBot="1" x14ac:dyDescent="0.35">
      <c r="A146" s="476" t="s">
        <v>318</v>
      </c>
      <c r="B146" s="477">
        <f>Case!B36+Case!B32</f>
        <v>34005</v>
      </c>
      <c r="C146" s="477">
        <f>Case!C36+Case!C32</f>
        <v>44861</v>
      </c>
      <c r="D146" s="477">
        <f>Case!D36+Case!D32</f>
        <v>41208</v>
      </c>
      <c r="E146" s="477">
        <f>Case!E36+Case!E32</f>
        <v>60443</v>
      </c>
      <c r="F146" s="477">
        <f>Case!F36+Case!F32</f>
        <v>99288</v>
      </c>
      <c r="G146" s="478"/>
      <c r="H146" s="478"/>
      <c r="I146" s="479">
        <f ca="1">'Model- Income statement'!G35+'Model- Income statement'!G31</f>
        <v>263576.83248778601</v>
      </c>
      <c r="J146" s="479">
        <f ca="1">'Model- Income statement'!H35+'Model- Income statement'!H31</f>
        <v>482022.84260519658</v>
      </c>
      <c r="K146" s="479">
        <f ca="1">'Model- Income statement'!I35+'Model- Income statement'!I31</f>
        <v>417191.40533762868</v>
      </c>
      <c r="L146" s="479">
        <f ca="1">'Model- Income statement'!J35+'Model- Income statement'!J31</f>
        <v>490916.93637794786</v>
      </c>
      <c r="M146" s="480">
        <f ca="1">'Model- Income statement'!K35+'Model- Income statement'!K31</f>
        <v>547246.97963745124</v>
      </c>
      <c r="N146" s="272"/>
      <c r="O146" s="272"/>
    </row>
    <row r="148" spans="1:15" x14ac:dyDescent="0.3">
      <c r="G148" s="35"/>
    </row>
    <row r="149" spans="1:15" x14ac:dyDescent="0.3">
      <c r="G149" s="35"/>
    </row>
    <row r="150" spans="1:15" x14ac:dyDescent="0.3">
      <c r="G150" s="35"/>
    </row>
    <row r="151" spans="1:15" x14ac:dyDescent="0.3">
      <c r="G151" s="35"/>
    </row>
    <row r="152" spans="1:15" x14ac:dyDescent="0.3">
      <c r="G152" s="35"/>
    </row>
    <row r="153" spans="1:15" x14ac:dyDescent="0.3">
      <c r="G153" s="35"/>
    </row>
    <row r="154" spans="1:15" x14ac:dyDescent="0.3">
      <c r="G154" s="35"/>
    </row>
    <row r="155" spans="1:15" x14ac:dyDescent="0.3">
      <c r="G155" s="35"/>
    </row>
    <row r="156" spans="1:15" x14ac:dyDescent="0.3">
      <c r="G156" s="35"/>
      <c r="N156" s="35"/>
    </row>
    <row r="157" spans="1:15" x14ac:dyDescent="0.3">
      <c r="G157" s="35"/>
    </row>
  </sheetData>
  <mergeCells count="4">
    <mergeCell ref="G3:H3"/>
    <mergeCell ref="A134:M134"/>
    <mergeCell ref="A4:M4"/>
    <mergeCell ref="A62:M62"/>
  </mergeCells>
  <dataValidations count="1">
    <dataValidation type="list" allowBlank="1" showInputMessage="1" showErrorMessage="1" sqref="Q5" xr:uid="{2686968A-AB3D-44F7-9637-D8EF3456726F}">
      <formula1>$P$7:$P$9</formula1>
    </dataValidation>
  </dataValidations>
  <pageMargins left="0.7" right="0.7" top="0.75" bottom="0.75" header="0.3" footer="0.3"/>
  <legacy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841DFB-4289-4A75-9EB6-CB6139BB90AF}">
  <sheetPr>
    <tabColor rgb="FF7030A0"/>
  </sheetPr>
  <dimension ref="A1:O43"/>
  <sheetViews>
    <sheetView zoomScale="76" workbookViewId="0">
      <pane xSplit="1" ySplit="3" topLeftCell="B4" activePane="bottomRight" state="frozen"/>
      <selection pane="topRight"/>
      <selection pane="bottomLeft"/>
      <selection pane="bottomRight"/>
    </sheetView>
  </sheetViews>
  <sheetFormatPr defaultColWidth="9.21875" defaultRowHeight="15.6" x14ac:dyDescent="0.3"/>
  <cols>
    <col min="1" max="1" width="45.44140625" style="2" customWidth="1"/>
    <col min="2" max="3" width="14.21875" style="2" bestFit="1" customWidth="1"/>
    <col min="4" max="6" width="14" style="2" bestFit="1" customWidth="1"/>
    <col min="7" max="7" width="16.77734375" style="2" bestFit="1" customWidth="1"/>
    <col min="8" max="11" width="14" style="2" bestFit="1" customWidth="1"/>
    <col min="12" max="16384" width="9.21875" style="2"/>
  </cols>
  <sheetData>
    <row r="1" spans="1:11" ht="16.2" thickBot="1" x14ac:dyDescent="0.35"/>
    <row r="2" spans="1:11" ht="18" thickBot="1" x14ac:dyDescent="0.35">
      <c r="A2" s="780" t="s">
        <v>225</v>
      </c>
      <c r="B2" s="781"/>
      <c r="C2" s="781"/>
      <c r="D2" s="781"/>
      <c r="E2" s="781"/>
      <c r="F2" s="781"/>
      <c r="G2" s="781"/>
      <c r="H2" s="781"/>
      <c r="I2" s="781"/>
      <c r="J2" s="781"/>
      <c r="K2" s="782"/>
    </row>
    <row r="3" spans="1:11" x14ac:dyDescent="0.3">
      <c r="A3" s="532" t="s">
        <v>194</v>
      </c>
      <c r="B3" s="533">
        <v>2018</v>
      </c>
      <c r="C3" s="533">
        <v>2019</v>
      </c>
      <c r="D3" s="533">
        <v>2020</v>
      </c>
      <c r="E3" s="533">
        <v>2021</v>
      </c>
      <c r="F3" s="533">
        <v>2022</v>
      </c>
      <c r="G3" s="533">
        <v>2023</v>
      </c>
      <c r="H3" s="533">
        <v>2024</v>
      </c>
      <c r="I3" s="533">
        <v>2025</v>
      </c>
      <c r="J3" s="533">
        <v>2026</v>
      </c>
      <c r="K3" s="534">
        <v>2027</v>
      </c>
    </row>
    <row r="4" spans="1:11" x14ac:dyDescent="0.3">
      <c r="A4" s="517" t="s">
        <v>137</v>
      </c>
      <c r="B4" s="75"/>
      <c r="C4" s="75"/>
      <c r="D4" s="75"/>
      <c r="E4" s="75"/>
      <c r="F4" s="75"/>
      <c r="G4" s="76"/>
      <c r="H4" s="76"/>
      <c r="I4" s="76"/>
      <c r="J4" s="76"/>
      <c r="K4" s="535"/>
    </row>
    <row r="5" spans="1:11" x14ac:dyDescent="0.3">
      <c r="A5" s="517" t="s">
        <v>138</v>
      </c>
      <c r="B5" s="52" t="s">
        <v>139</v>
      </c>
      <c r="C5" s="52"/>
      <c r="D5" s="52"/>
      <c r="E5" s="52" t="s">
        <v>139</v>
      </c>
      <c r="F5" s="52" t="s">
        <v>139</v>
      </c>
      <c r="G5" s="76"/>
      <c r="H5" s="76"/>
      <c r="I5" s="76"/>
      <c r="J5" s="76"/>
      <c r="K5" s="535"/>
    </row>
    <row r="6" spans="1:11" x14ac:dyDescent="0.3">
      <c r="A6" s="507" t="s">
        <v>140</v>
      </c>
      <c r="B6" s="539">
        <v>59729</v>
      </c>
      <c r="C6" s="539">
        <v>110164</v>
      </c>
      <c r="D6" s="539">
        <v>124982</v>
      </c>
      <c r="E6" s="539">
        <v>121693</v>
      </c>
      <c r="F6" s="539">
        <v>166911</v>
      </c>
      <c r="G6" s="540">
        <f>Input!I7</f>
        <v>203862.96168789867</v>
      </c>
      <c r="H6" s="540">
        <f>Input!J7</f>
        <v>249892.97183444386</v>
      </c>
      <c r="I6" s="540">
        <f>Input!K7</f>
        <v>307371.67963026324</v>
      </c>
      <c r="J6" s="540">
        <f>Input!L7</f>
        <v>379308.6116352987</v>
      </c>
      <c r="K6" s="541">
        <f>Input!M7</f>
        <v>469526.97324550949</v>
      </c>
    </row>
    <row r="7" spans="1:11" x14ac:dyDescent="0.3">
      <c r="A7" s="507" t="s">
        <v>141</v>
      </c>
      <c r="B7" s="539">
        <v>132632</v>
      </c>
      <c r="C7" s="539">
        <v>145198</v>
      </c>
      <c r="D7" s="539">
        <v>126731</v>
      </c>
      <c r="E7" s="539">
        <v>122320</v>
      </c>
      <c r="F7" s="539">
        <v>181859</v>
      </c>
      <c r="G7" s="540">
        <f>Input!I11</f>
        <v>188587.783</v>
      </c>
      <c r="H7" s="540">
        <f>Input!J11</f>
        <v>195565.53097099997</v>
      </c>
      <c r="I7" s="540">
        <f>Input!K11</f>
        <v>202801.45561692695</v>
      </c>
      <c r="J7" s="540">
        <f>Input!L11</f>
        <v>210305.10947475323</v>
      </c>
      <c r="K7" s="541">
        <f>Input!M11</f>
        <v>218086.39852531909</v>
      </c>
    </row>
    <row r="8" spans="1:11" x14ac:dyDescent="0.3">
      <c r="A8" s="507" t="s">
        <v>142</v>
      </c>
      <c r="B8" s="539">
        <v>34746</v>
      </c>
      <c r="C8" s="539">
        <v>16653</v>
      </c>
      <c r="D8" s="539">
        <v>15647</v>
      </c>
      <c r="E8" s="539">
        <v>29597</v>
      </c>
      <c r="F8" s="539">
        <v>27895</v>
      </c>
      <c r="G8" s="540">
        <f>Input!I12</f>
        <v>29658.713895969526</v>
      </c>
      <c r="H8" s="540">
        <f>Input!J12</f>
        <v>31533.941923748913</v>
      </c>
      <c r="I8" s="540">
        <f>Input!K12</f>
        <v>33527.734774281693</v>
      </c>
      <c r="J8" s="540">
        <f>Input!L12</f>
        <v>35647.588931721424</v>
      </c>
      <c r="K8" s="541">
        <f>Input!M12</f>
        <v>37901.474859546717</v>
      </c>
    </row>
    <row r="9" spans="1:11" x14ac:dyDescent="0.3">
      <c r="A9" s="507" t="s">
        <v>143</v>
      </c>
      <c r="B9" s="539">
        <v>9067</v>
      </c>
      <c r="C9" s="539">
        <v>9930</v>
      </c>
      <c r="D9" s="539">
        <v>9752</v>
      </c>
      <c r="E9" s="539">
        <v>8432</v>
      </c>
      <c r="F9" s="539">
        <v>11408</v>
      </c>
      <c r="G9" s="540">
        <f>Input!I14</f>
        <v>12248.881319964257</v>
      </c>
      <c r="H9" s="540">
        <f>Input!J14</f>
        <v>13151.743828065333</v>
      </c>
      <c r="I9" s="540">
        <f>Input!K14</f>
        <v>14121.156144858403</v>
      </c>
      <c r="J9" s="540">
        <f>Input!L14</f>
        <v>15162.023642974629</v>
      </c>
      <c r="K9" s="541">
        <f>Input!M14</f>
        <v>16279.613269047015</v>
      </c>
    </row>
    <row r="10" spans="1:11" x14ac:dyDescent="0.3">
      <c r="A10" s="507" t="s">
        <v>144</v>
      </c>
      <c r="B10" s="539">
        <v>1397</v>
      </c>
      <c r="C10" s="539">
        <v>2609</v>
      </c>
      <c r="D10" s="539">
        <v>1696</v>
      </c>
      <c r="E10" s="539">
        <v>1752</v>
      </c>
      <c r="F10" s="539">
        <v>2144</v>
      </c>
      <c r="G10" s="540">
        <f>Input!I16</f>
        <v>2077.4078270020923</v>
      </c>
      <c r="H10" s="540">
        <f>Input!J16</f>
        <v>2012.8839923925163</v>
      </c>
      <c r="I10" s="540">
        <f>Input!K16</f>
        <v>1950.3642540314522</v>
      </c>
      <c r="J10" s="540">
        <f>Input!L16</f>
        <v>1889.7863651259497</v>
      </c>
      <c r="K10" s="541">
        <f>Input!M16</f>
        <v>1831.090012254889</v>
      </c>
    </row>
    <row r="11" spans="1:11" x14ac:dyDescent="0.3">
      <c r="A11" s="517" t="s">
        <v>145</v>
      </c>
      <c r="B11" s="542">
        <f t="shared" ref="B11:K11" si="0">SUM(B6:B10)</f>
        <v>237571</v>
      </c>
      <c r="C11" s="542">
        <f t="shared" si="0"/>
        <v>284554</v>
      </c>
      <c r="D11" s="542">
        <f t="shared" si="0"/>
        <v>278808</v>
      </c>
      <c r="E11" s="542">
        <f t="shared" si="0"/>
        <v>283794</v>
      </c>
      <c r="F11" s="542">
        <f t="shared" si="0"/>
        <v>390217</v>
      </c>
      <c r="G11" s="542">
        <f t="shared" si="0"/>
        <v>436435.74773083453</v>
      </c>
      <c r="H11" s="542">
        <f t="shared" si="0"/>
        <v>492157.07254965062</v>
      </c>
      <c r="I11" s="542">
        <f t="shared" si="0"/>
        <v>559772.39042036177</v>
      </c>
      <c r="J11" s="542">
        <f t="shared" si="0"/>
        <v>642313.12004987395</v>
      </c>
      <c r="K11" s="543">
        <f t="shared" si="0"/>
        <v>743625.54991167726</v>
      </c>
    </row>
    <row r="12" spans="1:11" x14ac:dyDescent="0.3">
      <c r="A12" s="507" t="s">
        <v>146</v>
      </c>
      <c r="B12" s="539">
        <v>71</v>
      </c>
      <c r="C12" s="539">
        <v>763</v>
      </c>
      <c r="D12" s="539">
        <v>1556</v>
      </c>
      <c r="E12" s="539">
        <v>395</v>
      </c>
      <c r="F12" s="539">
        <v>722</v>
      </c>
      <c r="G12" s="540">
        <f ca="1">Input!I18</f>
        <v>1031.6677992458362</v>
      </c>
      <c r="H12" s="540">
        <f ca="1">Input!J18</f>
        <v>1163.3845452864105</v>
      </c>
      <c r="I12" s="540">
        <f ca="1">Input!K18</f>
        <v>1323.2168838280406</v>
      </c>
      <c r="J12" s="540">
        <f ca="1">Input!L18</f>
        <v>1518.3306281255</v>
      </c>
      <c r="K12" s="541">
        <f ca="1">Input!M18</f>
        <v>1757.8178197572827</v>
      </c>
    </row>
    <row r="13" spans="1:11" x14ac:dyDescent="0.3">
      <c r="A13" s="517" t="s">
        <v>147</v>
      </c>
      <c r="B13" s="542">
        <f>B11-B12</f>
        <v>237500</v>
      </c>
      <c r="C13" s="542">
        <f t="shared" ref="C13:K13" si="1">C11-C12</f>
        <v>283791</v>
      </c>
      <c r="D13" s="542">
        <f t="shared" si="1"/>
        <v>277252</v>
      </c>
      <c r="E13" s="542">
        <f t="shared" si="1"/>
        <v>283399</v>
      </c>
      <c r="F13" s="542">
        <f t="shared" si="1"/>
        <v>389495</v>
      </c>
      <c r="G13" s="542">
        <f t="shared" ca="1" si="1"/>
        <v>435404.07993158867</v>
      </c>
      <c r="H13" s="542">
        <f t="shared" ca="1" si="1"/>
        <v>490993.6880043642</v>
      </c>
      <c r="I13" s="542">
        <f t="shared" ca="1" si="1"/>
        <v>558449.17353653372</v>
      </c>
      <c r="J13" s="542">
        <f t="shared" ca="1" si="1"/>
        <v>640794.78942174849</v>
      </c>
      <c r="K13" s="543">
        <f t="shared" ca="1" si="1"/>
        <v>741867.73209191998</v>
      </c>
    </row>
    <row r="14" spans="1:11" x14ac:dyDescent="0.3">
      <c r="A14" s="517" t="s">
        <v>148</v>
      </c>
      <c r="B14" s="539" t="s">
        <v>139</v>
      </c>
      <c r="C14" s="539"/>
      <c r="D14" s="539"/>
      <c r="E14" s="539" t="s">
        <v>139</v>
      </c>
      <c r="F14" s="539" t="s">
        <v>139</v>
      </c>
      <c r="G14" s="540"/>
      <c r="H14" s="540"/>
      <c r="I14" s="540"/>
      <c r="J14" s="540"/>
      <c r="K14" s="541"/>
    </row>
    <row r="15" spans="1:11" x14ac:dyDescent="0.3">
      <c r="A15" s="507" t="s">
        <v>149</v>
      </c>
      <c r="B15" s="539">
        <v>7126</v>
      </c>
      <c r="C15" s="539">
        <v>4534</v>
      </c>
      <c r="D15" s="539">
        <v>2948</v>
      </c>
      <c r="E15" s="539">
        <v>4723</v>
      </c>
      <c r="F15" s="539">
        <v>5374</v>
      </c>
      <c r="G15" s="540">
        <f>Input!I22</f>
        <v>5642.7</v>
      </c>
      <c r="H15" s="540">
        <f>Input!J22</f>
        <v>5924.835</v>
      </c>
      <c r="I15" s="540">
        <f>Input!K22</f>
        <v>6221.0767500000002</v>
      </c>
      <c r="J15" s="540">
        <f>Input!L22</f>
        <v>6532.1305875000007</v>
      </c>
      <c r="K15" s="541">
        <f>Input!M22</f>
        <v>6858.7371168750014</v>
      </c>
    </row>
    <row r="16" spans="1:11" x14ac:dyDescent="0.3">
      <c r="A16" s="517" t="s">
        <v>150</v>
      </c>
      <c r="B16" s="542">
        <v>6526</v>
      </c>
      <c r="C16" s="542">
        <v>9528</v>
      </c>
      <c r="D16" s="542">
        <v>9607</v>
      </c>
      <c r="E16" s="542">
        <v>7242</v>
      </c>
      <c r="F16" s="542">
        <v>12498</v>
      </c>
      <c r="G16" s="544">
        <f>F16*(1+Input!$G$24)</f>
        <v>15459.679742003738</v>
      </c>
      <c r="H16" s="544">
        <f>G16*(1+Input!$G$24)</f>
        <v>19123.195529310353</v>
      </c>
      <c r="I16" s="544">
        <f>H16*(1+Input!$G$24)</f>
        <v>23654.863060238098</v>
      </c>
      <c r="J16" s="544">
        <f>I16*(1+Input!$G$24)</f>
        <v>29260.41024581817</v>
      </c>
      <c r="K16" s="545">
        <f>J16*(1+Input!$G$24)</f>
        <v>36194.316812289471</v>
      </c>
    </row>
    <row r="17" spans="1:15" ht="16.2" x14ac:dyDescent="0.35">
      <c r="A17" s="536" t="s">
        <v>151</v>
      </c>
      <c r="B17" s="546">
        <f>B13+B15+B16</f>
        <v>251152</v>
      </c>
      <c r="C17" s="546">
        <f>C13+C15+C16</f>
        <v>297853</v>
      </c>
      <c r="D17" s="546">
        <f t="shared" ref="D17:K17" si="2">D13+D15+D16</f>
        <v>289807</v>
      </c>
      <c r="E17" s="546">
        <f t="shared" si="2"/>
        <v>295364</v>
      </c>
      <c r="F17" s="546">
        <f t="shared" si="2"/>
        <v>407367</v>
      </c>
      <c r="G17" s="546">
        <f ca="1">G13+G15+G16</f>
        <v>456506.45967359241</v>
      </c>
      <c r="H17" s="546">
        <f t="shared" ca="1" si="2"/>
        <v>516041.7185336746</v>
      </c>
      <c r="I17" s="546">
        <f t="shared" ca="1" si="2"/>
        <v>588325.1133467718</v>
      </c>
      <c r="J17" s="546">
        <f t="shared" ca="1" si="2"/>
        <v>676587.33025506674</v>
      </c>
      <c r="K17" s="547">
        <f t="shared" ca="1" si="2"/>
        <v>784920.78602108452</v>
      </c>
    </row>
    <row r="18" spans="1:15" x14ac:dyDescent="0.3">
      <c r="A18" s="517" t="s">
        <v>324</v>
      </c>
      <c r="B18" s="539"/>
      <c r="C18" s="539"/>
      <c r="D18" s="539"/>
      <c r="E18" s="539"/>
      <c r="F18" s="539"/>
      <c r="G18" s="540"/>
      <c r="H18" s="540"/>
      <c r="I18" s="540"/>
      <c r="J18" s="540"/>
      <c r="K18" s="541"/>
    </row>
    <row r="19" spans="1:15" ht="31.2" x14ac:dyDescent="0.3">
      <c r="A19" s="505" t="s">
        <v>153</v>
      </c>
      <c r="B19" s="539">
        <v>26</v>
      </c>
      <c r="C19" s="539">
        <v>26</v>
      </c>
      <c r="D19" s="539">
        <v>26</v>
      </c>
      <c r="E19" s="539">
        <v>26</v>
      </c>
      <c r="F19" s="539">
        <v>26</v>
      </c>
      <c r="G19" s="540">
        <f>Input!$G$27</f>
        <v>26</v>
      </c>
      <c r="H19" s="540">
        <f>Input!$G$27</f>
        <v>26</v>
      </c>
      <c r="I19" s="540">
        <f>Input!$G$27</f>
        <v>26</v>
      </c>
      <c r="J19" s="540">
        <f>Input!$G$27</f>
        <v>26</v>
      </c>
      <c r="K19" s="541">
        <f>Input!$G$27</f>
        <v>26</v>
      </c>
    </row>
    <row r="20" spans="1:15" x14ac:dyDescent="0.3">
      <c r="A20" s="507" t="s">
        <v>154</v>
      </c>
      <c r="B20" s="539">
        <v>116</v>
      </c>
      <c r="C20" s="539">
        <v>181</v>
      </c>
      <c r="D20" s="539">
        <v>546</v>
      </c>
      <c r="E20" s="539">
        <v>359</v>
      </c>
      <c r="F20" s="539">
        <v>1359</v>
      </c>
      <c r="G20" s="540">
        <f>Input!$G$28</f>
        <v>0</v>
      </c>
      <c r="H20" s="540">
        <f>Input!$G$28</f>
        <v>0</v>
      </c>
      <c r="I20" s="540">
        <f>Input!$G$28</f>
        <v>0</v>
      </c>
      <c r="J20" s="540">
        <f>Input!$G$28</f>
        <v>0</v>
      </c>
      <c r="K20" s="541">
        <f>Input!$G$28</f>
        <v>0</v>
      </c>
    </row>
    <row r="21" spans="1:15" ht="31.2" x14ac:dyDescent="0.3">
      <c r="A21" s="505" t="s">
        <v>155</v>
      </c>
      <c r="B21" s="539">
        <v>30</v>
      </c>
      <c r="C21" s="539">
        <v>175</v>
      </c>
      <c r="D21" s="539">
        <v>215</v>
      </c>
      <c r="E21" s="539">
        <v>44</v>
      </c>
      <c r="F21" s="539">
        <v>296</v>
      </c>
      <c r="G21" s="540">
        <f>Input!$G$29</f>
        <v>0</v>
      </c>
      <c r="H21" s="540">
        <f>Input!$G$29</f>
        <v>0</v>
      </c>
      <c r="I21" s="540">
        <f>Input!$G$29</f>
        <v>0</v>
      </c>
      <c r="J21" s="540">
        <f>Input!$G$29</f>
        <v>0</v>
      </c>
      <c r="K21" s="541">
        <f>Input!$G$29</f>
        <v>0</v>
      </c>
      <c r="L21" s="5"/>
      <c r="M21" s="5"/>
      <c r="N21" s="5"/>
      <c r="O21" s="5"/>
    </row>
    <row r="22" spans="1:15" x14ac:dyDescent="0.3">
      <c r="A22" s="507" t="s">
        <v>156</v>
      </c>
      <c r="B22" s="539">
        <v>227</v>
      </c>
      <c r="C22" s="539">
        <v>3049</v>
      </c>
      <c r="D22" s="539">
        <v>2582</v>
      </c>
      <c r="E22" s="539">
        <v>2826</v>
      </c>
      <c r="F22" s="539">
        <v>2947</v>
      </c>
      <c r="G22" s="540">
        <f ca="1">Input!$G$30*'Balance sheet'!G6</f>
        <v>2499.1906970657401</v>
      </c>
      <c r="H22" s="540">
        <f ca="1">Input!$G$30*'Balance sheet'!H6</f>
        <v>2647.2594206032072</v>
      </c>
      <c r="I22" s="540">
        <f ca="1">Input!$G$30*'Balance sheet'!I6</f>
        <v>2835.5707611386233</v>
      </c>
      <c r="J22" s="540">
        <f ca="1">Input!$G$30*'Balance sheet'!J6</f>
        <v>3072.2955311132737</v>
      </c>
      <c r="K22" s="541">
        <f ca="1">Input!$G$30*'Balance sheet'!K6</f>
        <v>3367.9034256059776</v>
      </c>
    </row>
    <row r="23" spans="1:15" x14ac:dyDescent="0.3">
      <c r="A23" s="507" t="s">
        <v>157</v>
      </c>
      <c r="B23" s="539">
        <v>1199</v>
      </c>
      <c r="C23" s="539">
        <v>306</v>
      </c>
      <c r="D23" s="539">
        <v>277</v>
      </c>
      <c r="E23" s="539">
        <v>541</v>
      </c>
      <c r="F23" s="539">
        <v>3835</v>
      </c>
      <c r="G23" s="540">
        <f>Input!$G$31</f>
        <v>3835</v>
      </c>
      <c r="H23" s="540">
        <f>Input!$G$31</f>
        <v>3835</v>
      </c>
      <c r="I23" s="540">
        <f>Input!$G$31</f>
        <v>3835</v>
      </c>
      <c r="J23" s="540">
        <f>Input!$G$31</f>
        <v>3835</v>
      </c>
      <c r="K23" s="541">
        <f>Input!$G$31</f>
        <v>3835</v>
      </c>
    </row>
    <row r="24" spans="1:15" ht="16.2" x14ac:dyDescent="0.35">
      <c r="A24" s="536" t="s">
        <v>158</v>
      </c>
      <c r="B24" s="548">
        <f t="shared" ref="B24:K24" si="3">SUM(B19:B23)</f>
        <v>1598</v>
      </c>
      <c r="C24" s="548">
        <f t="shared" si="3"/>
        <v>3737</v>
      </c>
      <c r="D24" s="548">
        <f t="shared" si="3"/>
        <v>3646</v>
      </c>
      <c r="E24" s="548">
        <f t="shared" si="3"/>
        <v>3796</v>
      </c>
      <c r="F24" s="548">
        <f t="shared" si="3"/>
        <v>8463</v>
      </c>
      <c r="G24" s="548">
        <f t="shared" ca="1" si="3"/>
        <v>6360.1906970657401</v>
      </c>
      <c r="H24" s="548">
        <f t="shared" ca="1" si="3"/>
        <v>6508.2594206032072</v>
      </c>
      <c r="I24" s="548">
        <f t="shared" ca="1" si="3"/>
        <v>6696.5707611386233</v>
      </c>
      <c r="J24" s="548">
        <f t="shared" ca="1" si="3"/>
        <v>6933.2955311132737</v>
      </c>
      <c r="K24" s="549">
        <f t="shared" ca="1" si="3"/>
        <v>7228.9034256059776</v>
      </c>
    </row>
    <row r="25" spans="1:15" x14ac:dyDescent="0.3">
      <c r="A25" s="517" t="s">
        <v>159</v>
      </c>
      <c r="B25" s="542">
        <f t="shared" ref="B25:K25" si="4">B17+B24</f>
        <v>252750</v>
      </c>
      <c r="C25" s="542">
        <f t="shared" si="4"/>
        <v>301590</v>
      </c>
      <c r="D25" s="542">
        <f t="shared" si="4"/>
        <v>293453</v>
      </c>
      <c r="E25" s="542">
        <f t="shared" si="4"/>
        <v>299160</v>
      </c>
      <c r="F25" s="542">
        <f t="shared" si="4"/>
        <v>415830</v>
      </c>
      <c r="G25" s="542">
        <f ca="1">G17+G24</f>
        <v>462866.65037065814</v>
      </c>
      <c r="H25" s="542">
        <f t="shared" ca="1" si="4"/>
        <v>522549.97795427783</v>
      </c>
      <c r="I25" s="542">
        <f t="shared" ca="1" si="4"/>
        <v>595021.68410791038</v>
      </c>
      <c r="J25" s="542">
        <f t="shared" ca="1" si="4"/>
        <v>683520.62578618003</v>
      </c>
      <c r="K25" s="543">
        <f t="shared" ca="1" si="4"/>
        <v>792149.68944669049</v>
      </c>
    </row>
    <row r="26" spans="1:15" x14ac:dyDescent="0.3">
      <c r="A26" s="517" t="s">
        <v>160</v>
      </c>
      <c r="B26" s="539" t="s">
        <v>139</v>
      </c>
      <c r="C26" s="539"/>
      <c r="D26" s="539"/>
      <c r="E26" s="539" t="s">
        <v>139</v>
      </c>
      <c r="F26" s="539" t="s">
        <v>139</v>
      </c>
      <c r="G26" s="540"/>
      <c r="H26" s="540"/>
      <c r="I26" s="540"/>
      <c r="J26" s="540"/>
      <c r="K26" s="541"/>
    </row>
    <row r="27" spans="1:15" x14ac:dyDescent="0.3">
      <c r="A27" s="507" t="s">
        <v>161</v>
      </c>
      <c r="B27" s="539">
        <v>164709</v>
      </c>
      <c r="C27" s="539">
        <v>179914</v>
      </c>
      <c r="D27" s="539">
        <v>169522</v>
      </c>
      <c r="E27" s="539">
        <v>137852</v>
      </c>
      <c r="F27" s="539">
        <v>227875</v>
      </c>
      <c r="G27" s="540">
        <f ca="1">Input!I33</f>
        <v>139559.07648061041</v>
      </c>
      <c r="H27" s="540">
        <f ca="1">Input!J33</f>
        <v>27230.714833150458</v>
      </c>
      <c r="I27" s="540">
        <f ca="1">Input!K33</f>
        <v>125750.0335196416</v>
      </c>
      <c r="J27" s="540">
        <f ca="1">Input!L33</f>
        <v>137095.90194664005</v>
      </c>
      <c r="K27" s="541">
        <f ca="1">Input!M33</f>
        <v>175254.04972247471</v>
      </c>
    </row>
    <row r="28" spans="1:15" x14ac:dyDescent="0.3">
      <c r="A28" s="507" t="s">
        <v>162</v>
      </c>
      <c r="B28" s="539">
        <v>0</v>
      </c>
      <c r="C28" s="539">
        <v>0</v>
      </c>
      <c r="D28" s="539">
        <v>19718</v>
      </c>
      <c r="E28" s="539">
        <v>0</v>
      </c>
      <c r="F28" s="539">
        <v>0</v>
      </c>
      <c r="G28" s="539">
        <v>0</v>
      </c>
      <c r="H28" s="539">
        <v>0</v>
      </c>
      <c r="I28" s="539">
        <v>0</v>
      </c>
      <c r="J28" s="539">
        <v>0</v>
      </c>
      <c r="K28" s="550">
        <v>0</v>
      </c>
    </row>
    <row r="29" spans="1:15" ht="31.2" x14ac:dyDescent="0.3">
      <c r="A29" s="505" t="s">
        <v>163</v>
      </c>
      <c r="B29" s="539">
        <v>-4513</v>
      </c>
      <c r="C29" s="539">
        <v>-5028</v>
      </c>
      <c r="D29" s="539">
        <v>-18370</v>
      </c>
      <c r="E29" s="539">
        <v>20087</v>
      </c>
      <c r="F29" s="539">
        <v>-8323</v>
      </c>
      <c r="G29" s="540">
        <f ca="1">G17*Input!$G$45</f>
        <v>-3730.961140665509</v>
      </c>
      <c r="H29" s="540">
        <f ca="1">H17*Input!$G$45</f>
        <v>-4217.5341838273735</v>
      </c>
      <c r="I29" s="540">
        <f ca="1">I17*Input!$G$45</f>
        <v>-4808.2958947479101</v>
      </c>
      <c r="J29" s="540">
        <f ca="1">J17*Input!$G$45</f>
        <v>-5529.6502030950342</v>
      </c>
      <c r="K29" s="541">
        <f ca="1">K17*Input!$G$45</f>
        <v>-6415.0438380197565</v>
      </c>
    </row>
    <row r="30" spans="1:15" x14ac:dyDescent="0.3">
      <c r="A30" s="507" t="s">
        <v>164</v>
      </c>
      <c r="B30" s="539">
        <v>23305</v>
      </c>
      <c r="C30" s="539">
        <v>37341</v>
      </c>
      <c r="D30" s="539">
        <v>38325</v>
      </c>
      <c r="E30" s="539">
        <v>38479</v>
      </c>
      <c r="F30" s="539">
        <v>43289</v>
      </c>
      <c r="G30" s="540">
        <f ca="1">Input!$G$47*G27</f>
        <v>29146.043829606031</v>
      </c>
      <c r="H30" s="540">
        <f ca="1">Input!$G$47*H27</f>
        <v>5686.9651767061832</v>
      </c>
      <c r="I30" s="540">
        <f ca="1">Input!$G$47*I27</f>
        <v>26262.111221745676</v>
      </c>
      <c r="J30" s="540">
        <f ca="1">Input!$G$47*J27</f>
        <v>28631.625170945419</v>
      </c>
      <c r="K30" s="541">
        <f ca="1">Input!$G$47*K27</f>
        <v>36600.716652326628</v>
      </c>
    </row>
    <row r="31" spans="1:15" x14ac:dyDescent="0.3">
      <c r="A31" s="507" t="s">
        <v>165</v>
      </c>
      <c r="B31" s="539">
        <v>3049</v>
      </c>
      <c r="C31" s="539">
        <v>3586</v>
      </c>
      <c r="D31" s="539">
        <v>3541</v>
      </c>
      <c r="E31" s="539">
        <v>1961</v>
      </c>
      <c r="F31" s="539">
        <v>1339</v>
      </c>
      <c r="G31" s="540">
        <f ca="1">Input!$G$47*'Balance sheet'!G35</f>
        <v>1146.0180854160012</v>
      </c>
      <c r="H31" s="540">
        <f ca="1">Input!$G$47*'Balance sheet'!H35</f>
        <v>1213.9158393799662</v>
      </c>
      <c r="I31" s="540">
        <f ca="1">Input!$G$47*'Balance sheet'!I35</f>
        <v>1300.2670738799566</v>
      </c>
      <c r="J31" s="540">
        <f ca="1">Input!$G$47*'Balance sheet'!J35</f>
        <v>1408.818561357647</v>
      </c>
      <c r="K31" s="541">
        <f ca="1">Input!$G$47*'Balance sheet'!K35</f>
        <v>1544.3712399420108</v>
      </c>
    </row>
    <row r="32" spans="1:15" x14ac:dyDescent="0.3">
      <c r="A32" s="507" t="s">
        <v>325</v>
      </c>
      <c r="B32" s="539">
        <v>10497</v>
      </c>
      <c r="C32" s="539">
        <v>9583</v>
      </c>
      <c r="D32" s="539">
        <v>9891</v>
      </c>
      <c r="E32" s="539">
        <v>9792</v>
      </c>
      <c r="F32" s="539">
        <v>7565</v>
      </c>
      <c r="G32" s="540">
        <f>F32*(1+Input!$G$43)</f>
        <v>7012.0516379140554</v>
      </c>
      <c r="H32" s="540">
        <f>G32*(1+Input!$G$43)</f>
        <v>6499.5199170883261</v>
      </c>
      <c r="I32" s="540">
        <f>H32*(1+Input!$G$43)</f>
        <v>6024.4506649404129</v>
      </c>
      <c r="J32" s="540">
        <f>I32*(1+Input!$G$43)</f>
        <v>5584.1056381530525</v>
      </c>
      <c r="K32" s="541">
        <f>J32*(1+Input!$G$43)</f>
        <v>5175.9467397615635</v>
      </c>
    </row>
    <row r="33" spans="1:11" x14ac:dyDescent="0.3">
      <c r="A33" s="507" t="s">
        <v>167</v>
      </c>
      <c r="B33" s="539">
        <v>24747</v>
      </c>
      <c r="C33" s="539">
        <v>34919</v>
      </c>
      <c r="D33" s="539">
        <v>33159</v>
      </c>
      <c r="E33" s="539">
        <v>32507</v>
      </c>
      <c r="F33" s="539">
        <v>46136</v>
      </c>
      <c r="G33" s="540">
        <f ca="1">Input!$G$51*G27</f>
        <v>27303.607075407162</v>
      </c>
      <c r="H33" s="540">
        <f ca="1">Input!$G$51*H27</f>
        <v>5327.4696059636008</v>
      </c>
      <c r="I33" s="540">
        <f ca="1">Input!$G$51*I27</f>
        <v>24601.979258701933</v>
      </c>
      <c r="J33" s="540">
        <f ca="1">Input!$G$51*J27</f>
        <v>26821.706855588644</v>
      </c>
      <c r="K33" s="541">
        <f ca="1">Input!$G$51*K27</f>
        <v>34287.040532696061</v>
      </c>
    </row>
    <row r="34" spans="1:11" x14ac:dyDescent="0.3">
      <c r="A34" s="517" t="s">
        <v>168</v>
      </c>
      <c r="B34" s="542">
        <f t="shared" ref="B34:K34" si="5">B27+SUM(B28:B33)</f>
        <v>221794</v>
      </c>
      <c r="C34" s="542">
        <f t="shared" si="5"/>
        <v>260315</v>
      </c>
      <c r="D34" s="542">
        <f t="shared" si="5"/>
        <v>255786</v>
      </c>
      <c r="E34" s="542">
        <f t="shared" si="5"/>
        <v>240678</v>
      </c>
      <c r="F34" s="542">
        <f t="shared" si="5"/>
        <v>317881</v>
      </c>
      <c r="G34" s="542">
        <f t="shared" ca="1" si="5"/>
        <v>200435.83596828816</v>
      </c>
      <c r="H34" s="542">
        <f t="shared" ca="1" si="5"/>
        <v>41741.051188461162</v>
      </c>
      <c r="I34" s="542">
        <f t="shared" ca="1" si="5"/>
        <v>179130.54584416165</v>
      </c>
      <c r="J34" s="542">
        <f t="shared" ca="1" si="5"/>
        <v>194012.50796958979</v>
      </c>
      <c r="K34" s="543">
        <f t="shared" ca="1" si="5"/>
        <v>246447.08104918123</v>
      </c>
    </row>
    <row r="35" spans="1:11" x14ac:dyDescent="0.3">
      <c r="A35" s="517" t="s">
        <v>169</v>
      </c>
      <c r="B35" s="542">
        <f t="shared" ref="B35:K35" si="6">B25-B34</f>
        <v>30956</v>
      </c>
      <c r="C35" s="542">
        <f t="shared" si="6"/>
        <v>41275</v>
      </c>
      <c r="D35" s="542">
        <f t="shared" si="6"/>
        <v>37667</v>
      </c>
      <c r="E35" s="542">
        <f t="shared" si="6"/>
        <v>58482</v>
      </c>
      <c r="F35" s="542">
        <f t="shared" si="6"/>
        <v>97949</v>
      </c>
      <c r="G35" s="542">
        <f t="shared" ca="1" si="6"/>
        <v>262430.81440237002</v>
      </c>
      <c r="H35" s="542">
        <f t="shared" ca="1" si="6"/>
        <v>480808.92676581664</v>
      </c>
      <c r="I35" s="542">
        <f t="shared" ca="1" si="6"/>
        <v>415891.13826374873</v>
      </c>
      <c r="J35" s="542">
        <f t="shared" ca="1" si="6"/>
        <v>489508.11781659024</v>
      </c>
      <c r="K35" s="543">
        <f t="shared" ca="1" si="6"/>
        <v>545702.6083975092</v>
      </c>
    </row>
    <row r="36" spans="1:11" x14ac:dyDescent="0.3">
      <c r="A36" s="517" t="s">
        <v>170</v>
      </c>
      <c r="B36" s="539" t="s">
        <v>139</v>
      </c>
      <c r="C36" s="539"/>
      <c r="D36" s="539"/>
      <c r="E36" s="539" t="s">
        <v>139</v>
      </c>
      <c r="F36" s="539" t="s">
        <v>139</v>
      </c>
      <c r="G36" s="540"/>
      <c r="H36" s="540"/>
      <c r="I36" s="540"/>
      <c r="J36" s="540"/>
      <c r="K36" s="541"/>
    </row>
    <row r="37" spans="1:11" x14ac:dyDescent="0.3">
      <c r="A37" s="507" t="s">
        <v>171</v>
      </c>
      <c r="B37" s="539">
        <v>8263</v>
      </c>
      <c r="C37" s="539">
        <v>12453</v>
      </c>
      <c r="D37" s="539">
        <v>9140</v>
      </c>
      <c r="E37" s="539">
        <v>15654</v>
      </c>
      <c r="F37" s="539">
        <v>24795</v>
      </c>
      <c r="G37" s="540">
        <f ca="1">IF(G35&gt;0,G35*Input!$G$54,0)</f>
        <v>69883.673943098736</v>
      </c>
      <c r="H37" s="540">
        <f ca="1">IF(H35&gt;0,H35*Input!$G$54,0)</f>
        <v>128036.3906332873</v>
      </c>
      <c r="I37" s="540">
        <f ca="1">IF(I35&gt;0,I35*Input!$G$54,0)</f>
        <v>110749.19219541748</v>
      </c>
      <c r="J37" s="540">
        <f ca="1">IF(J35&gt;0,J35*Input!$G$54,0)</f>
        <v>130352.9304510119</v>
      </c>
      <c r="K37" s="541">
        <f ca="1">IF(K35&gt;0,K35*Input!$G$54,0)</f>
        <v>145317.1695633225</v>
      </c>
    </row>
    <row r="38" spans="1:11" x14ac:dyDescent="0.3">
      <c r="A38" s="537" t="s">
        <v>172</v>
      </c>
      <c r="B38" s="539">
        <v>196</v>
      </c>
      <c r="C38" s="539">
        <v>-89</v>
      </c>
      <c r="D38" s="539">
        <v>-934</v>
      </c>
      <c r="E38" s="539">
        <v>-434</v>
      </c>
      <c r="F38" s="539">
        <v>74</v>
      </c>
      <c r="G38" s="540">
        <f>Input!$G$55</f>
        <v>74</v>
      </c>
      <c r="H38" s="540">
        <f>Input!$G$55</f>
        <v>74</v>
      </c>
      <c r="I38" s="540">
        <f>Input!$G$55</f>
        <v>74</v>
      </c>
      <c r="J38" s="540">
        <f>Input!$G$55</f>
        <v>74</v>
      </c>
      <c r="K38" s="541">
        <f>Input!$G$55</f>
        <v>74</v>
      </c>
    </row>
    <row r="39" spans="1:11" x14ac:dyDescent="0.3">
      <c r="A39" s="517" t="s">
        <v>173</v>
      </c>
      <c r="B39" s="542">
        <f t="shared" ref="B39:K39" si="7">B37+B38</f>
        <v>8459</v>
      </c>
      <c r="C39" s="542">
        <f t="shared" si="7"/>
        <v>12364</v>
      </c>
      <c r="D39" s="542">
        <f t="shared" si="7"/>
        <v>8206</v>
      </c>
      <c r="E39" s="542">
        <f t="shared" si="7"/>
        <v>15220</v>
      </c>
      <c r="F39" s="542">
        <f t="shared" si="7"/>
        <v>24869</v>
      </c>
      <c r="G39" s="542">
        <f ca="1">G37+G38</f>
        <v>69957.673943098736</v>
      </c>
      <c r="H39" s="542">
        <f t="shared" ca="1" si="7"/>
        <v>128110.3906332873</v>
      </c>
      <c r="I39" s="542">
        <f t="shared" ca="1" si="7"/>
        <v>110823.19219541748</v>
      </c>
      <c r="J39" s="542">
        <f t="shared" ca="1" si="7"/>
        <v>130426.9304510119</v>
      </c>
      <c r="K39" s="543">
        <f t="shared" ca="1" si="7"/>
        <v>145391.1695633225</v>
      </c>
    </row>
    <row r="40" spans="1:11" ht="16.8" thickBot="1" x14ac:dyDescent="0.4">
      <c r="A40" s="538" t="s">
        <v>174</v>
      </c>
      <c r="B40" s="551">
        <f t="shared" ref="B40:K40" si="8">B35-B39</f>
        <v>22497</v>
      </c>
      <c r="C40" s="551">
        <f t="shared" si="8"/>
        <v>28911</v>
      </c>
      <c r="D40" s="551">
        <f t="shared" si="8"/>
        <v>29461</v>
      </c>
      <c r="E40" s="551">
        <f t="shared" si="8"/>
        <v>43262</v>
      </c>
      <c r="F40" s="551">
        <f t="shared" si="8"/>
        <v>73080</v>
      </c>
      <c r="G40" s="551">
        <f ca="1">G35-G39</f>
        <v>192473.14045927126</v>
      </c>
      <c r="H40" s="551">
        <f t="shared" ca="1" si="8"/>
        <v>352698.53613252932</v>
      </c>
      <c r="I40" s="551">
        <f t="shared" ca="1" si="8"/>
        <v>305067.94606833125</v>
      </c>
      <c r="J40" s="551">
        <f t="shared" ca="1" si="8"/>
        <v>359081.18736557837</v>
      </c>
      <c r="K40" s="552">
        <f t="shared" ca="1" si="8"/>
        <v>400311.4388341867</v>
      </c>
    </row>
    <row r="41" spans="1:11" x14ac:dyDescent="0.3">
      <c r="G41" s="73"/>
      <c r="H41" s="73"/>
      <c r="I41" s="73"/>
      <c r="J41" s="73"/>
      <c r="K41" s="73"/>
    </row>
    <row r="42" spans="1:11" x14ac:dyDescent="0.3">
      <c r="G42" s="73"/>
      <c r="H42" s="73"/>
      <c r="I42" s="73"/>
      <c r="J42" s="73"/>
      <c r="K42" s="73"/>
    </row>
    <row r="43" spans="1:11" x14ac:dyDescent="0.3">
      <c r="A43" s="3"/>
      <c r="B43" s="3"/>
      <c r="C43" s="3"/>
      <c r="D43" s="3"/>
      <c r="E43" s="3"/>
      <c r="F43" s="3"/>
      <c r="G43" s="74"/>
      <c r="H43" s="73"/>
      <c r="I43" s="73"/>
      <c r="J43" s="73"/>
      <c r="K43" s="73"/>
    </row>
  </sheetData>
  <mergeCells count="1">
    <mergeCell ref="A2:K2"/>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9A2D39-430C-4F67-89B1-B3474843889A}">
  <sheetPr>
    <tabColor rgb="FF048A54"/>
  </sheetPr>
  <dimension ref="A2:X52"/>
  <sheetViews>
    <sheetView zoomScale="69" workbookViewId="0">
      <pane xSplit="1" ySplit="3" topLeftCell="B12" activePane="bottomRight" state="frozen"/>
      <selection pane="topRight" activeCell="B1" sqref="B1"/>
      <selection pane="bottomLeft" activeCell="A3" sqref="A3"/>
      <selection pane="bottomRight" activeCell="G28" sqref="G28"/>
    </sheetView>
  </sheetViews>
  <sheetFormatPr defaultColWidth="9.21875" defaultRowHeight="15.6" x14ac:dyDescent="0.3"/>
  <cols>
    <col min="1" max="1" width="32.5546875" style="2" bestFit="1" customWidth="1"/>
    <col min="2" max="8" width="16.44140625" style="2" bestFit="1" customWidth="1"/>
    <col min="9" max="9" width="18.21875" style="2" customWidth="1"/>
    <col min="10" max="11" width="18" style="2" bestFit="1" customWidth="1"/>
    <col min="12" max="16384" width="9.21875" style="2"/>
  </cols>
  <sheetData>
    <row r="2" spans="1:24" ht="17.399999999999999" x14ac:dyDescent="0.3">
      <c r="A2" s="783" t="s">
        <v>319</v>
      </c>
      <c r="B2" s="784"/>
      <c r="C2" s="784"/>
      <c r="D2" s="784"/>
      <c r="E2" s="784"/>
      <c r="F2" s="784"/>
      <c r="G2" s="784"/>
      <c r="H2" s="784"/>
      <c r="I2" s="784"/>
      <c r="J2" s="784"/>
      <c r="K2" s="785"/>
    </row>
    <row r="3" spans="1:24" x14ac:dyDescent="0.3">
      <c r="A3" s="136" t="s">
        <v>135</v>
      </c>
      <c r="B3" s="137">
        <v>2018</v>
      </c>
      <c r="C3" s="137">
        <v>2019</v>
      </c>
      <c r="D3" s="137">
        <v>2020</v>
      </c>
      <c r="E3" s="137">
        <v>2021</v>
      </c>
      <c r="F3" s="137">
        <v>2022</v>
      </c>
      <c r="G3" s="137">
        <v>2023</v>
      </c>
      <c r="H3" s="137">
        <v>2024</v>
      </c>
      <c r="I3" s="137">
        <v>2025</v>
      </c>
      <c r="J3" s="137">
        <v>2026</v>
      </c>
      <c r="K3" s="138">
        <v>2027</v>
      </c>
    </row>
    <row r="4" spans="1:24" x14ac:dyDescent="0.3">
      <c r="A4" s="93" t="s">
        <v>176</v>
      </c>
      <c r="B4" s="61" t="s">
        <v>139</v>
      </c>
      <c r="C4" s="61" t="s">
        <v>139</v>
      </c>
      <c r="D4" s="61" t="s">
        <v>139</v>
      </c>
      <c r="E4" s="61" t="s">
        <v>139</v>
      </c>
      <c r="F4" s="61" t="s">
        <v>139</v>
      </c>
      <c r="G4" s="61"/>
      <c r="H4" s="134"/>
      <c r="I4" s="134"/>
      <c r="J4" s="134"/>
      <c r="K4" s="135"/>
    </row>
    <row r="5" spans="1:24" ht="16.2" thickBot="1" x14ac:dyDescent="0.35">
      <c r="A5" s="93" t="s">
        <v>177</v>
      </c>
      <c r="B5" s="596" t="s">
        <v>139</v>
      </c>
      <c r="C5" s="596" t="s">
        <v>139</v>
      </c>
      <c r="D5" s="596" t="s">
        <v>139</v>
      </c>
      <c r="E5" s="596" t="s">
        <v>139</v>
      </c>
      <c r="F5" s="596" t="s">
        <v>139</v>
      </c>
      <c r="G5" s="596"/>
      <c r="H5" s="597"/>
      <c r="I5" s="597"/>
      <c r="J5" s="597"/>
      <c r="K5" s="598"/>
    </row>
    <row r="6" spans="1:24" x14ac:dyDescent="0.3">
      <c r="A6" s="591" t="s">
        <v>178</v>
      </c>
      <c r="B6" s="599">
        <v>86436</v>
      </c>
      <c r="C6" s="600">
        <v>79383</v>
      </c>
      <c r="D6" s="600">
        <v>86551</v>
      </c>
      <c r="E6" s="600">
        <v>79680</v>
      </c>
      <c r="F6" s="600">
        <v>84433</v>
      </c>
      <c r="G6" s="600">
        <f ca="1">Input!I70</f>
        <v>88474.8496787123</v>
      </c>
      <c r="H6" s="600">
        <f ca="1">Input!J70</f>
        <v>93716.689796185994</v>
      </c>
      <c r="I6" s="600">
        <f ca="1">Input!K70</f>
        <v>100383.17489723448</v>
      </c>
      <c r="J6" s="600">
        <f ca="1">Input!L70</f>
        <v>108763.56318186005</v>
      </c>
      <c r="K6" s="601">
        <f ca="1">Input!M70</f>
        <v>119228.49651399412</v>
      </c>
      <c r="N6"/>
      <c r="O6"/>
      <c r="P6"/>
      <c r="Q6"/>
      <c r="R6"/>
      <c r="S6"/>
      <c r="T6"/>
      <c r="U6"/>
      <c r="V6"/>
      <c r="W6"/>
      <c r="X6"/>
    </row>
    <row r="7" spans="1:24" x14ac:dyDescent="0.3">
      <c r="A7" s="591" t="s">
        <v>179</v>
      </c>
      <c r="B7" s="602">
        <v>10</v>
      </c>
      <c r="C7" s="553">
        <v>441</v>
      </c>
      <c r="D7" s="553">
        <v>579</v>
      </c>
      <c r="E7" s="553">
        <v>1742</v>
      </c>
      <c r="F7" s="553">
        <v>491</v>
      </c>
      <c r="G7" s="553">
        <f ca="1">Input!$G$74*Input!I68</f>
        <v>1146.8245901924313</v>
      </c>
      <c r="H7" s="553">
        <f ca="1">Input!$G$74*Input!J68</f>
        <v>1296.387641048344</v>
      </c>
      <c r="I7" s="553">
        <f ca="1">Input!$G$74*Input!K68</f>
        <v>1477.976253602742</v>
      </c>
      <c r="J7" s="553">
        <f ca="1">Input!$G$74*Input!L68</f>
        <v>1699.7064801754509</v>
      </c>
      <c r="K7" s="603">
        <f ca="1">Input!$G$74*Input!M68</f>
        <v>1971.8591921038337</v>
      </c>
    </row>
    <row r="8" spans="1:24" x14ac:dyDescent="0.3">
      <c r="A8" s="591" t="s">
        <v>180</v>
      </c>
      <c r="B8" s="602">
        <v>18</v>
      </c>
      <c r="C8" s="553">
        <v>20</v>
      </c>
      <c r="D8" s="553">
        <v>105</v>
      </c>
      <c r="E8" s="553">
        <v>95</v>
      </c>
      <c r="F8" s="553">
        <v>80</v>
      </c>
      <c r="G8" s="554">
        <f>Input!$G$76</f>
        <v>80</v>
      </c>
      <c r="H8" s="554">
        <f>Input!$G$76</f>
        <v>80</v>
      </c>
      <c r="I8" s="554">
        <f>Input!$G$76</f>
        <v>80</v>
      </c>
      <c r="J8" s="554">
        <f>Input!$G$76</f>
        <v>80</v>
      </c>
      <c r="K8" s="604">
        <f>Input!$G$76</f>
        <v>80</v>
      </c>
    </row>
    <row r="9" spans="1:24" x14ac:dyDescent="0.3">
      <c r="A9" s="591" t="s">
        <v>181</v>
      </c>
      <c r="B9" s="602" t="s">
        <v>139</v>
      </c>
      <c r="C9" s="553" t="s">
        <v>139</v>
      </c>
      <c r="D9" s="553" t="s">
        <v>139</v>
      </c>
      <c r="E9" s="553" t="s">
        <v>139</v>
      </c>
      <c r="F9" s="553" t="s">
        <v>139</v>
      </c>
      <c r="G9" s="553"/>
      <c r="H9" s="554"/>
      <c r="I9" s="554"/>
      <c r="J9" s="554"/>
      <c r="K9" s="604"/>
    </row>
    <row r="10" spans="1:24" x14ac:dyDescent="0.3">
      <c r="A10" s="591" t="s">
        <v>182</v>
      </c>
      <c r="B10" s="602">
        <v>7851</v>
      </c>
      <c r="C10" s="553">
        <v>7987</v>
      </c>
      <c r="D10" s="553">
        <v>8296</v>
      </c>
      <c r="E10" s="553">
        <v>18714</v>
      </c>
      <c r="F10" s="553">
        <v>57912</v>
      </c>
      <c r="G10" s="554">
        <f>Input!I79</f>
        <v>53406.699999999255</v>
      </c>
      <c r="H10" s="554">
        <f>Input!J79</f>
        <v>64491.599999997765</v>
      </c>
      <c r="I10" s="554">
        <f>Input!K79</f>
        <v>75576.5</v>
      </c>
      <c r="J10" s="554">
        <f>Input!L79</f>
        <v>86661.39999999851</v>
      </c>
      <c r="K10" s="604">
        <f>Input!M79</f>
        <v>97746.300000000745</v>
      </c>
    </row>
    <row r="11" spans="1:24" x14ac:dyDescent="0.3">
      <c r="A11" s="591" t="s">
        <v>183</v>
      </c>
      <c r="B11" s="602">
        <v>826</v>
      </c>
      <c r="C11" s="553">
        <v>1802</v>
      </c>
      <c r="D11" s="553">
        <v>352</v>
      </c>
      <c r="E11" s="553">
        <v>555</v>
      </c>
      <c r="F11" s="553">
        <v>204</v>
      </c>
      <c r="G11" s="553">
        <f ca="1">G14*Input!$G$80</f>
        <v>1141.4202555309651</v>
      </c>
      <c r="H11" s="553">
        <f ca="1">H14*Input!$G$80</f>
        <v>1271.5102461435863</v>
      </c>
      <c r="I11" s="553">
        <f ca="1">I14*Input!$G$80</f>
        <v>1413.8661079073913</v>
      </c>
      <c r="J11" s="553">
        <f ca="1">J14*Input!$G$80</f>
        <v>1571.0560511708936</v>
      </c>
      <c r="K11" s="603">
        <f ca="1">K14*Input!$G$80</f>
        <v>1746.3651417501533</v>
      </c>
    </row>
    <row r="12" spans="1:24" x14ac:dyDescent="0.3">
      <c r="A12" s="591" t="s">
        <v>184</v>
      </c>
      <c r="B12" s="602">
        <v>0</v>
      </c>
      <c r="C12" s="553">
        <v>0</v>
      </c>
      <c r="D12" s="553">
        <v>1177</v>
      </c>
      <c r="E12" s="553">
        <v>1875</v>
      </c>
      <c r="F12" s="553">
        <v>2350</v>
      </c>
      <c r="G12" s="553">
        <f>Input!$G$81</f>
        <v>2350</v>
      </c>
      <c r="H12" s="553">
        <f>Input!$G$81</f>
        <v>2350</v>
      </c>
      <c r="I12" s="553">
        <f>Input!$G$81</f>
        <v>2350</v>
      </c>
      <c r="J12" s="553">
        <f>Input!$G$81</f>
        <v>2350</v>
      </c>
      <c r="K12" s="603">
        <f>Input!$G$81</f>
        <v>2350</v>
      </c>
    </row>
    <row r="13" spans="1:24" x14ac:dyDescent="0.3">
      <c r="A13" s="591" t="s">
        <v>185</v>
      </c>
      <c r="B13" s="602">
        <v>6460</v>
      </c>
      <c r="C13" s="553">
        <v>5077</v>
      </c>
      <c r="D13" s="553">
        <v>2756</v>
      </c>
      <c r="E13" s="553">
        <v>2082</v>
      </c>
      <c r="F13" s="553">
        <v>3479</v>
      </c>
      <c r="G13" s="553">
        <f ca="1">Input!$G$83*'Model- Income statement'!G17</f>
        <v>6196.2273460299721</v>
      </c>
      <c r="H13" s="553">
        <f ca="1">Input!$G$83*'Model- Income statement'!H17</f>
        <v>7004.3079135329554</v>
      </c>
      <c r="I13" s="553">
        <f ca="1">Input!$G$83*'Model- Income statement'!I17</f>
        <v>7985.4207501947549</v>
      </c>
      <c r="J13" s="553">
        <f ca="1">Input!$G$83*'Model- Income statement'!J17</f>
        <v>9183.4164202219454</v>
      </c>
      <c r="K13" s="603">
        <f ca="1">Input!$G$83*'Model- Income statement'!K17</f>
        <v>10653.84188054793</v>
      </c>
    </row>
    <row r="14" spans="1:24" x14ac:dyDescent="0.3">
      <c r="A14" s="592" t="s">
        <v>186</v>
      </c>
      <c r="B14" s="605">
        <f t="shared" ref="B14:K14" si="0">SUM(B6:B13)</f>
        <v>101601</v>
      </c>
      <c r="C14" s="555">
        <f>SUM(C6:C13)</f>
        <v>94710</v>
      </c>
      <c r="D14" s="555">
        <f t="shared" si="0"/>
        <v>99816</v>
      </c>
      <c r="E14" s="555">
        <f t="shared" si="0"/>
        <v>104743</v>
      </c>
      <c r="F14" s="555">
        <f t="shared" si="0"/>
        <v>148949</v>
      </c>
      <c r="G14" s="555">
        <f ca="1">SUM(G6:G13)</f>
        <v>152796.02187046493</v>
      </c>
      <c r="H14" s="555">
        <f t="shared" ca="1" si="0"/>
        <v>170210.49559690864</v>
      </c>
      <c r="I14" s="555">
        <f t="shared" ca="1" si="0"/>
        <v>189266.93800893935</v>
      </c>
      <c r="J14" s="555">
        <f t="shared" ca="1" si="0"/>
        <v>210309.14213342685</v>
      </c>
      <c r="K14" s="606">
        <f t="shared" ca="1" si="0"/>
        <v>233776.86272839678</v>
      </c>
    </row>
    <row r="15" spans="1:24" x14ac:dyDescent="0.3">
      <c r="A15" s="592" t="s">
        <v>187</v>
      </c>
      <c r="B15" s="602" t="s">
        <v>139</v>
      </c>
      <c r="C15" s="553" t="s">
        <v>139</v>
      </c>
      <c r="D15" s="553" t="s">
        <v>139</v>
      </c>
      <c r="E15" s="553" t="s">
        <v>139</v>
      </c>
      <c r="F15" s="553" t="s">
        <v>139</v>
      </c>
      <c r="G15" s="553"/>
      <c r="H15" s="554"/>
      <c r="I15" s="554"/>
      <c r="J15" s="554"/>
      <c r="K15" s="604"/>
    </row>
    <row r="16" spans="1:24" x14ac:dyDescent="0.3">
      <c r="A16" s="591" t="s">
        <v>188</v>
      </c>
      <c r="B16" s="602">
        <v>39134</v>
      </c>
      <c r="C16" s="553">
        <v>72934</v>
      </c>
      <c r="D16" s="553">
        <v>49437</v>
      </c>
      <c r="E16" s="553">
        <v>69085</v>
      </c>
      <c r="F16" s="553">
        <v>85190</v>
      </c>
      <c r="G16" s="553">
        <f ca="1">SUM(Input!I86:I90)</f>
        <v>48248.427874419809</v>
      </c>
      <c r="H16" s="553">
        <f ca="1">SUM(Input!J86:J90)</f>
        <v>5542.9894811961922</v>
      </c>
      <c r="I16" s="553">
        <f ca="1">SUM(Input!K86:K90)</f>
        <v>28724.191981133328</v>
      </c>
      <c r="J16" s="553">
        <f ca="1">SUM(Input!L86:L90)</f>
        <v>31185.130357274917</v>
      </c>
      <c r="K16" s="603">
        <f ca="1">SUM(Input!M86:M90)</f>
        <v>39960.680093109433</v>
      </c>
    </row>
    <row r="17" spans="1:11" x14ac:dyDescent="0.3">
      <c r="A17" s="591" t="s">
        <v>189</v>
      </c>
      <c r="B17" s="602" t="s">
        <v>139</v>
      </c>
      <c r="C17" s="553" t="s">
        <v>139</v>
      </c>
      <c r="D17" s="553" t="s">
        <v>139</v>
      </c>
      <c r="E17" s="553" t="s">
        <v>139</v>
      </c>
      <c r="F17" s="553" t="s">
        <v>139</v>
      </c>
      <c r="G17" s="553"/>
      <c r="H17" s="554"/>
      <c r="I17" s="554"/>
      <c r="J17" s="554"/>
      <c r="K17" s="604"/>
    </row>
    <row r="18" spans="1:11" x14ac:dyDescent="0.3">
      <c r="A18" s="591" t="s">
        <v>190</v>
      </c>
      <c r="B18" s="602">
        <v>1202</v>
      </c>
      <c r="C18" s="556" t="s">
        <v>320</v>
      </c>
      <c r="D18" s="553">
        <v>701</v>
      </c>
      <c r="E18" s="553">
        <v>23344</v>
      </c>
      <c r="F18" s="553">
        <v>27403</v>
      </c>
      <c r="G18" s="553">
        <f>Input!I100</f>
        <v>33253.800000000745</v>
      </c>
      <c r="H18" s="553">
        <f>Input!J100</f>
        <v>49560.199999999255</v>
      </c>
      <c r="I18" s="553">
        <f>Input!K100</f>
        <v>70553.333333332092</v>
      </c>
      <c r="J18" s="553">
        <f>Input!L100</f>
        <v>47819.866666669026</v>
      </c>
      <c r="K18" s="603">
        <f>Input!M100</f>
        <v>81053.39999999851</v>
      </c>
    </row>
    <row r="19" spans="1:11" x14ac:dyDescent="0.3">
      <c r="A19" s="591" t="s">
        <v>191</v>
      </c>
      <c r="B19" s="602">
        <v>32419</v>
      </c>
      <c r="C19" s="553">
        <v>46830</v>
      </c>
      <c r="D19" s="553">
        <v>35127</v>
      </c>
      <c r="E19" s="553">
        <v>26081</v>
      </c>
      <c r="F19" s="553">
        <v>39263</v>
      </c>
      <c r="G19" s="553">
        <f ca="1">(2*'Model- Income statement'!G17/Input!$G$101)-F19</f>
        <v>60224.628402924296</v>
      </c>
      <c r="H19" s="553">
        <f ca="1">(2*'Model- Income statement'!H17/Input!$G$101)-G19</f>
        <v>52237.672285204448</v>
      </c>
      <c r="I19" s="553">
        <f ca="1">(2*'Model- Income statement'!I17/Input!$G$101)-H19</f>
        <v>75977.534786788281</v>
      </c>
      <c r="J19" s="553">
        <f ca="1">(2*'Model- Income statement'!J17/Input!$G$101)-I19</f>
        <v>71472.884518716455</v>
      </c>
      <c r="K19" s="603">
        <f ca="1">(2*'Model- Income statement'!K17/Input!$G$101)-J19</f>
        <v>99586.923794252711</v>
      </c>
    </row>
    <row r="20" spans="1:11" x14ac:dyDescent="0.3">
      <c r="A20" s="591" t="s">
        <v>193</v>
      </c>
      <c r="B20" s="602">
        <v>1641</v>
      </c>
      <c r="C20" s="553">
        <v>5633</v>
      </c>
      <c r="D20" s="553">
        <v>14533</v>
      </c>
      <c r="E20" s="553">
        <v>4503</v>
      </c>
      <c r="F20" s="553">
        <v>9561</v>
      </c>
      <c r="G20" s="553">
        <f ca="1">'Cash flow'!B46</f>
        <v>148041.71141078477</v>
      </c>
      <c r="H20" s="553">
        <f ca="1">'Cash flow'!C46</f>
        <v>401687.56950127066</v>
      </c>
      <c r="I20" s="553">
        <f ca="1">'Cash flow'!D46</f>
        <v>687582.98954611598</v>
      </c>
      <c r="J20" s="553">
        <f ca="1">'Cash flow'!E46</f>
        <v>842342.70467129187</v>
      </c>
      <c r="K20" s="603">
        <f ca="1">'Cash flow'!F46</f>
        <v>1236207.9249824726</v>
      </c>
    </row>
    <row r="21" spans="1:11" x14ac:dyDescent="0.3">
      <c r="A21" s="591" t="s">
        <v>195</v>
      </c>
      <c r="B21" s="602">
        <v>1100</v>
      </c>
      <c r="C21" s="553">
        <v>1044</v>
      </c>
      <c r="D21" s="553">
        <v>171</v>
      </c>
      <c r="E21" s="553">
        <v>787</v>
      </c>
      <c r="F21" s="553">
        <v>479</v>
      </c>
      <c r="G21" s="553">
        <f>Input!$G$103</f>
        <v>479</v>
      </c>
      <c r="H21" s="553">
        <f>Input!$G$103</f>
        <v>479</v>
      </c>
      <c r="I21" s="553">
        <f>Input!$G$103</f>
        <v>479</v>
      </c>
      <c r="J21" s="553">
        <f>Input!$G$103</f>
        <v>479</v>
      </c>
      <c r="K21" s="603">
        <f>Input!$G$103</f>
        <v>479</v>
      </c>
    </row>
    <row r="22" spans="1:11" x14ac:dyDescent="0.3">
      <c r="A22" s="591" t="s">
        <v>197</v>
      </c>
      <c r="B22" s="602">
        <v>4196</v>
      </c>
      <c r="C22" s="553">
        <v>1221</v>
      </c>
      <c r="D22" s="553">
        <v>249</v>
      </c>
      <c r="E22" s="553">
        <v>4359</v>
      </c>
      <c r="F22" s="553">
        <v>4442</v>
      </c>
      <c r="G22" s="553">
        <f>Input!$G$104</f>
        <v>4442</v>
      </c>
      <c r="H22" s="553">
        <f>Input!$G$104</f>
        <v>4442</v>
      </c>
      <c r="I22" s="553">
        <f>Input!$G$104</f>
        <v>4442</v>
      </c>
      <c r="J22" s="553">
        <f>Input!$G$104</f>
        <v>4442</v>
      </c>
      <c r="K22" s="603">
        <f>Input!$G$104</f>
        <v>4442</v>
      </c>
    </row>
    <row r="23" spans="1:11" x14ac:dyDescent="0.3">
      <c r="A23" s="591" t="s">
        <v>199</v>
      </c>
      <c r="B23" s="602">
        <v>11744</v>
      </c>
      <c r="C23" s="553">
        <v>17349</v>
      </c>
      <c r="D23" s="553">
        <v>18686</v>
      </c>
      <c r="E23" s="553">
        <v>15641</v>
      </c>
      <c r="F23" s="553">
        <v>20603</v>
      </c>
      <c r="G23" s="553">
        <f ca="1">Input!$G$102*'Model- Income statement'!G17</f>
        <v>24926.694208693545</v>
      </c>
      <c r="H23" s="553">
        <f ca="1">Input!$G$102*'Model- Income statement'!H17</f>
        <v>28177.507336949762</v>
      </c>
      <c r="I23" s="553">
        <f ca="1">Input!$G$102*'Model- Income statement'!I17</f>
        <v>32124.408943031387</v>
      </c>
      <c r="J23" s="553">
        <f ca="1">Input!$G$102*'Model- Income statement'!J17</f>
        <v>36943.804691839709</v>
      </c>
      <c r="K23" s="603">
        <f ca="1">Input!$G$102*'Model- Income statement'!K17</f>
        <v>42859.153461233618</v>
      </c>
    </row>
    <row r="24" spans="1:11" x14ac:dyDescent="0.3">
      <c r="A24" s="592" t="s">
        <v>201</v>
      </c>
      <c r="B24" s="605">
        <f t="shared" ref="B24:K24" si="1">SUM(B16:B23)</f>
        <v>91436</v>
      </c>
      <c r="C24" s="555">
        <f t="shared" si="1"/>
        <v>145011</v>
      </c>
      <c r="D24" s="555">
        <f t="shared" si="1"/>
        <v>118904</v>
      </c>
      <c r="E24" s="555">
        <f t="shared" si="1"/>
        <v>143800</v>
      </c>
      <c r="F24" s="555">
        <f t="shared" si="1"/>
        <v>186941</v>
      </c>
      <c r="G24" s="555">
        <f t="shared" ca="1" si="1"/>
        <v>319616.26189682318</v>
      </c>
      <c r="H24" s="555">
        <f t="shared" ca="1" si="1"/>
        <v>542126.9386046204</v>
      </c>
      <c r="I24" s="555">
        <f t="shared" ca="1" si="1"/>
        <v>899883.45859040099</v>
      </c>
      <c r="J24" s="555">
        <f t="shared" ca="1" si="1"/>
        <v>1034685.390905792</v>
      </c>
      <c r="K24" s="606">
        <f t="shared" ca="1" si="1"/>
        <v>1504589.082331067</v>
      </c>
    </row>
    <row r="25" spans="1:11" ht="18" thickBot="1" x14ac:dyDescent="0.35">
      <c r="A25" s="593" t="s">
        <v>203</v>
      </c>
      <c r="B25" s="607">
        <f t="shared" ref="B25:K25" si="2">SUM(B14+B24)</f>
        <v>193037</v>
      </c>
      <c r="C25" s="557">
        <f t="shared" si="2"/>
        <v>239721</v>
      </c>
      <c r="D25" s="557">
        <f t="shared" si="2"/>
        <v>218720</v>
      </c>
      <c r="E25" s="557">
        <f t="shared" si="2"/>
        <v>248543</v>
      </c>
      <c r="F25" s="557">
        <f t="shared" si="2"/>
        <v>335890</v>
      </c>
      <c r="G25" s="558">
        <f t="shared" ca="1" si="2"/>
        <v>472412.28376728809</v>
      </c>
      <c r="H25" s="558">
        <f t="shared" ca="1" si="2"/>
        <v>712337.43420152902</v>
      </c>
      <c r="I25" s="558">
        <f t="shared" ca="1" si="2"/>
        <v>1089150.3965993403</v>
      </c>
      <c r="J25" s="558">
        <f t="shared" ca="1" si="2"/>
        <v>1244994.5330392187</v>
      </c>
      <c r="K25" s="608">
        <f t="shared" ca="1" si="2"/>
        <v>1738365.9450594638</v>
      </c>
    </row>
    <row r="26" spans="1:11" ht="16.2" thickBot="1" x14ac:dyDescent="0.35">
      <c r="A26" s="594"/>
      <c r="B26" s="609"/>
      <c r="C26" s="559"/>
      <c r="D26" s="559"/>
      <c r="E26" s="559"/>
      <c r="F26" s="559"/>
      <c r="G26" s="560"/>
      <c r="H26" s="560"/>
      <c r="I26" s="560"/>
      <c r="J26" s="560"/>
      <c r="K26" s="610"/>
    </row>
    <row r="27" spans="1:11" x14ac:dyDescent="0.3">
      <c r="A27" s="595" t="s">
        <v>204</v>
      </c>
      <c r="B27" s="611" t="s">
        <v>139</v>
      </c>
      <c r="C27" s="561" t="s">
        <v>139</v>
      </c>
      <c r="D27" s="561" t="s">
        <v>139</v>
      </c>
      <c r="E27" s="561" t="s">
        <v>139</v>
      </c>
      <c r="F27" s="561" t="s">
        <v>139</v>
      </c>
      <c r="G27" s="561"/>
      <c r="H27" s="562"/>
      <c r="I27" s="562"/>
      <c r="J27" s="562"/>
      <c r="K27" s="612"/>
    </row>
    <row r="28" spans="1:11" x14ac:dyDescent="0.3">
      <c r="A28" s="592" t="s">
        <v>205</v>
      </c>
      <c r="B28" s="602" t="s">
        <v>139</v>
      </c>
      <c r="C28" s="553" t="s">
        <v>139</v>
      </c>
      <c r="D28" s="553" t="s">
        <v>139</v>
      </c>
      <c r="E28" s="553" t="s">
        <v>139</v>
      </c>
      <c r="F28" s="553" t="s">
        <v>139</v>
      </c>
      <c r="G28" s="553"/>
      <c r="H28" s="554"/>
      <c r="I28" s="554"/>
      <c r="J28" s="554"/>
      <c r="K28" s="604"/>
    </row>
    <row r="29" spans="1:11" x14ac:dyDescent="0.3">
      <c r="A29" s="591" t="s">
        <v>206</v>
      </c>
      <c r="B29" s="602">
        <v>3695</v>
      </c>
      <c r="C29" s="553">
        <v>3628</v>
      </c>
      <c r="D29" s="553">
        <v>3441</v>
      </c>
      <c r="E29" s="553">
        <v>3441</v>
      </c>
      <c r="F29" s="553">
        <v>3441</v>
      </c>
      <c r="G29" s="553">
        <f>Input!I111</f>
        <v>3440.7107999999998</v>
      </c>
      <c r="H29" s="553">
        <f>Input!J111</f>
        <v>3418.3507999999997</v>
      </c>
      <c r="I29" s="553">
        <f>Input!K111</f>
        <v>3418.3507999999997</v>
      </c>
      <c r="J29" s="553">
        <f>Input!L111</f>
        <v>3418.3507999999997</v>
      </c>
      <c r="K29" s="603">
        <f>Input!M111</f>
        <v>3418.3507999999997</v>
      </c>
    </row>
    <row r="30" spans="1:11" x14ac:dyDescent="0.3">
      <c r="A30" s="591" t="s">
        <v>207</v>
      </c>
      <c r="B30" s="602">
        <v>129977</v>
      </c>
      <c r="C30" s="553">
        <v>147492</v>
      </c>
      <c r="D30" s="553">
        <v>147047</v>
      </c>
      <c r="E30" s="553">
        <v>187213</v>
      </c>
      <c r="F30" s="553">
        <v>259777</v>
      </c>
      <c r="G30" s="553">
        <f ca="1">Input!I115</f>
        <v>390966.24385593523</v>
      </c>
      <c r="H30" s="553">
        <f ca="1">Input!J115</f>
        <v>664307.60935864551</v>
      </c>
      <c r="I30" s="553">
        <f ca="1">Input!K115</f>
        <v>900735.26756160217</v>
      </c>
      <c r="J30" s="553">
        <f ca="1">Input!L115</f>
        <v>1179023.1877699255</v>
      </c>
      <c r="K30" s="603">
        <f ca="1">Input!M115</f>
        <v>1489264.5528664202</v>
      </c>
    </row>
    <row r="31" spans="1:11" x14ac:dyDescent="0.3">
      <c r="A31" s="592" t="s">
        <v>208</v>
      </c>
      <c r="B31" s="605">
        <f>SUM(B29,B30)</f>
        <v>133672</v>
      </c>
      <c r="C31" s="555">
        <f>SUM(C29,C30)</f>
        <v>151120</v>
      </c>
      <c r="D31" s="555">
        <f>SUM(D29,D30)</f>
        <v>150488</v>
      </c>
      <c r="E31" s="555">
        <f>SUM(E29,E30)</f>
        <v>190654</v>
      </c>
      <c r="F31" s="555">
        <f>SUM(F29,F30)</f>
        <v>263218</v>
      </c>
      <c r="G31" s="555">
        <f ca="1">G29+G30</f>
        <v>394406.95465593523</v>
      </c>
      <c r="H31" s="555">
        <f ca="1">H29+H30</f>
        <v>667725.96015864552</v>
      </c>
      <c r="I31" s="555">
        <f ca="1">I29+I30</f>
        <v>904153.61836160219</v>
      </c>
      <c r="J31" s="555">
        <f ca="1">J29+J30</f>
        <v>1182441.5385699254</v>
      </c>
      <c r="K31" s="606">
        <f ca="1">K29+K30</f>
        <v>1492682.9036664201</v>
      </c>
    </row>
    <row r="32" spans="1:11" x14ac:dyDescent="0.3">
      <c r="A32" s="592" t="s">
        <v>209</v>
      </c>
      <c r="B32" s="602" t="s">
        <v>139</v>
      </c>
      <c r="C32" s="553" t="s">
        <v>139</v>
      </c>
      <c r="D32" s="553" t="s">
        <v>139</v>
      </c>
      <c r="E32" s="553" t="s">
        <v>139</v>
      </c>
      <c r="F32" s="553" t="s">
        <v>139</v>
      </c>
      <c r="G32" s="553"/>
      <c r="H32" s="554"/>
      <c r="I32" s="554"/>
      <c r="J32" s="554"/>
      <c r="K32" s="604"/>
    </row>
    <row r="33" spans="1:12" x14ac:dyDescent="0.3">
      <c r="A33" s="592" t="s">
        <v>210</v>
      </c>
      <c r="B33" s="602" t="s">
        <v>139</v>
      </c>
      <c r="C33" s="553" t="s">
        <v>139</v>
      </c>
      <c r="D33" s="553" t="s">
        <v>139</v>
      </c>
      <c r="E33" s="553" t="s">
        <v>139</v>
      </c>
      <c r="F33" s="553" t="s">
        <v>139</v>
      </c>
      <c r="G33" s="553"/>
      <c r="H33" s="554"/>
      <c r="I33" s="554"/>
      <c r="J33" s="554"/>
      <c r="K33" s="604"/>
    </row>
    <row r="34" spans="1:12" x14ac:dyDescent="0.3">
      <c r="A34" s="591" t="s">
        <v>211</v>
      </c>
      <c r="B34" s="602" t="s">
        <v>139</v>
      </c>
      <c r="C34" s="553" t="s">
        <v>139</v>
      </c>
      <c r="D34" s="553" t="s">
        <v>139</v>
      </c>
      <c r="E34" s="553" t="s">
        <v>139</v>
      </c>
      <c r="F34" s="553" t="s">
        <v>139</v>
      </c>
      <c r="G34" s="553"/>
      <c r="H34" s="554"/>
      <c r="I34" s="554"/>
      <c r="J34" s="554"/>
      <c r="K34" s="604"/>
    </row>
    <row r="35" spans="1:12" x14ac:dyDescent="0.3">
      <c r="A35" s="591" t="s">
        <v>212</v>
      </c>
      <c r="B35" s="602">
        <v>10126</v>
      </c>
      <c r="C35" s="553">
        <v>8195</v>
      </c>
      <c r="D35" s="553">
        <v>6659</v>
      </c>
      <c r="E35" s="553">
        <v>990</v>
      </c>
      <c r="F35" s="553">
        <v>31</v>
      </c>
      <c r="G35" s="553">
        <f ca="1">Input!$G$120*'Balance sheet'!G6</f>
        <v>5487.4420201163994</v>
      </c>
      <c r="H35" s="553">
        <f ca="1">Input!$G$120*'Balance sheet'!H6</f>
        <v>5812.5546801300834</v>
      </c>
      <c r="I35" s="553">
        <f ca="1">Input!$G$120*'Balance sheet'!I6</f>
        <v>6226.0275552218991</v>
      </c>
      <c r="J35" s="553">
        <f ca="1">Input!$G$120*'Balance sheet'!J6</f>
        <v>6745.8011969397712</v>
      </c>
      <c r="K35" s="603">
        <f ca="1">Input!$G$120*'Balance sheet'!K6</f>
        <v>7394.8637849295219</v>
      </c>
      <c r="L35"/>
    </row>
    <row r="36" spans="1:12" x14ac:dyDescent="0.3">
      <c r="A36" s="591" t="s">
        <v>213</v>
      </c>
      <c r="B36" s="602">
        <v>5750</v>
      </c>
      <c r="C36" s="553">
        <v>5661</v>
      </c>
      <c r="D36" s="553">
        <v>4727</v>
      </c>
      <c r="E36" s="553">
        <v>4294</v>
      </c>
      <c r="F36" s="553">
        <v>4368</v>
      </c>
      <c r="G36" s="553">
        <f>Input!$G$121</f>
        <v>4368</v>
      </c>
      <c r="H36" s="553">
        <f>Input!$G$121</f>
        <v>4368</v>
      </c>
      <c r="I36" s="553">
        <f>Input!$G$121</f>
        <v>4368</v>
      </c>
      <c r="J36" s="553">
        <f>Input!$G$121</f>
        <v>4368</v>
      </c>
      <c r="K36" s="603">
        <f>Input!$G$121</f>
        <v>4368</v>
      </c>
    </row>
    <row r="37" spans="1:12" x14ac:dyDescent="0.3">
      <c r="A37" s="591" t="s">
        <v>214</v>
      </c>
      <c r="B37" s="602">
        <v>0</v>
      </c>
      <c r="C37" s="553">
        <v>0</v>
      </c>
      <c r="D37" s="553">
        <v>7</v>
      </c>
      <c r="E37" s="553">
        <v>4</v>
      </c>
      <c r="F37" s="553">
        <v>3</v>
      </c>
      <c r="G37" s="553">
        <f ca="1">Input!$G$122*'Model- Income statement'!G27</f>
        <v>3.8831994172622886</v>
      </c>
      <c r="H37" s="553">
        <f ca="1">Input!$G$122*'Model- Income statement'!H27</f>
        <v>0.75768841868494796</v>
      </c>
      <c r="I37" s="553">
        <f ca="1">Input!$G$122*'Model- Income statement'!I27</f>
        <v>3.498965951899438</v>
      </c>
      <c r="J37" s="553">
        <f ca="1">Input!$G$122*'Model- Income statement'!J27</f>
        <v>3.8146621486292598</v>
      </c>
      <c r="K37" s="603">
        <f ca="1">Input!$G$122*'Model- Income statement'!K27</f>
        <v>4.8764038922951842</v>
      </c>
    </row>
    <row r="38" spans="1:12" x14ac:dyDescent="0.3">
      <c r="A38" s="592" t="s">
        <v>215</v>
      </c>
      <c r="B38" s="605">
        <f t="shared" ref="B38:K38" si="3">SUM(B35:B37)</f>
        <v>15876</v>
      </c>
      <c r="C38" s="555">
        <f t="shared" si="3"/>
        <v>13856</v>
      </c>
      <c r="D38" s="555">
        <f t="shared" si="3"/>
        <v>11393</v>
      </c>
      <c r="E38" s="555">
        <f t="shared" si="3"/>
        <v>5288</v>
      </c>
      <c r="F38" s="555">
        <f t="shared" si="3"/>
        <v>4402</v>
      </c>
      <c r="G38" s="555">
        <f t="shared" ca="1" si="3"/>
        <v>9859.3252195336609</v>
      </c>
      <c r="H38" s="555">
        <f t="shared" ca="1" si="3"/>
        <v>10181.31236854877</v>
      </c>
      <c r="I38" s="555">
        <f t="shared" ca="1" si="3"/>
        <v>10597.526521173799</v>
      </c>
      <c r="J38" s="555">
        <f t="shared" ca="1" si="3"/>
        <v>11117.615859088399</v>
      </c>
      <c r="K38" s="606">
        <f t="shared" ca="1" si="3"/>
        <v>11767.740188821817</v>
      </c>
    </row>
    <row r="39" spans="1:12" x14ac:dyDescent="0.3">
      <c r="A39" s="592" t="s">
        <v>216</v>
      </c>
      <c r="B39" s="602" t="s">
        <v>139</v>
      </c>
      <c r="C39" s="553" t="s">
        <v>139</v>
      </c>
      <c r="D39" s="553" t="s">
        <v>139</v>
      </c>
      <c r="E39" s="553" t="s">
        <v>139</v>
      </c>
      <c r="F39" s="553" t="s">
        <v>139</v>
      </c>
      <c r="G39" s="553"/>
      <c r="H39" s="554"/>
      <c r="I39" s="554"/>
      <c r="J39" s="554"/>
      <c r="K39" s="604"/>
    </row>
    <row r="40" spans="1:12" x14ac:dyDescent="0.3">
      <c r="A40" s="591" t="s">
        <v>211</v>
      </c>
      <c r="B40" s="602" t="s">
        <v>139</v>
      </c>
      <c r="C40" s="553" t="s">
        <v>139</v>
      </c>
      <c r="D40" s="553" t="s">
        <v>139</v>
      </c>
      <c r="E40" s="553" t="s">
        <v>139</v>
      </c>
      <c r="F40" s="553" t="s">
        <v>139</v>
      </c>
      <c r="G40" s="553"/>
      <c r="H40" s="554"/>
      <c r="I40" s="554"/>
      <c r="J40" s="554"/>
      <c r="K40" s="604"/>
    </row>
    <row r="41" spans="1:12" x14ac:dyDescent="0.3">
      <c r="A41" s="591" t="s">
        <v>212</v>
      </c>
      <c r="B41" s="602">
        <v>22822</v>
      </c>
      <c r="C41" s="553">
        <v>55241</v>
      </c>
      <c r="D41" s="553">
        <v>39876</v>
      </c>
      <c r="E41" s="553">
        <v>30579</v>
      </c>
      <c r="F41" s="553">
        <v>41754</v>
      </c>
      <c r="G41" s="553">
        <f ca="1">G46*Input!$G$126</f>
        <v>30504.180842450958</v>
      </c>
      <c r="H41" s="553">
        <f ca="1">H46*Input!$G$126</f>
        <v>18786.401266430254</v>
      </c>
      <c r="I41" s="553">
        <f ca="1">I46*Input!$G$126</f>
        <v>54707.526221732987</v>
      </c>
      <c r="J41" s="553">
        <f ca="1">J46*Input!$G$126</f>
        <v>21365.817125407608</v>
      </c>
      <c r="K41" s="603">
        <f ca="1">K46*Input!$G$126</f>
        <v>68038.159688806278</v>
      </c>
    </row>
    <row r="42" spans="1:12" x14ac:dyDescent="0.3">
      <c r="A42" s="591" t="s">
        <v>217</v>
      </c>
      <c r="B42" s="602">
        <v>13749</v>
      </c>
      <c r="C42" s="553">
        <v>12350</v>
      </c>
      <c r="D42" s="553">
        <v>10574</v>
      </c>
      <c r="E42" s="553">
        <f>881+9534</f>
        <v>10415</v>
      </c>
      <c r="F42" s="553">
        <v>12406</v>
      </c>
      <c r="G42" s="553">
        <f ca="1">(2*'Model- Income statement'!G27/Input!$G$127)-F42</f>
        <v>5694.0968364866021</v>
      </c>
      <c r="H42" s="553">
        <f ca="1">(2*'Model- Income statement'!H27/Input!$G$127)-G42</f>
        <v>-2162.4127079000014</v>
      </c>
      <c r="I42" s="553">
        <f ca="1">(2*'Model- Income statement'!I27/Input!$G$127)-H42</f>
        <v>18471.547457822027</v>
      </c>
      <c r="J42" s="553">
        <f ca="1">(2*'Model- Income statement'!J27/Input!$G$127)-I42</f>
        <v>-690.9117321018457</v>
      </c>
      <c r="K42" s="603">
        <f ca="1">(2*'Model- Income statement'!K27/Input!$G$127)-J42</f>
        <v>23420.463624801185</v>
      </c>
    </row>
    <row r="43" spans="1:12" x14ac:dyDescent="0.3">
      <c r="A43" s="591" t="s">
        <v>218</v>
      </c>
      <c r="B43" s="602">
        <v>3150</v>
      </c>
      <c r="C43" s="553">
        <v>3192</v>
      </c>
      <c r="D43" s="553">
        <v>3592</v>
      </c>
      <c r="E43" s="553">
        <v>5020</v>
      </c>
      <c r="F43" s="553">
        <v>43</v>
      </c>
      <c r="G43" s="553">
        <f>Input!I128</f>
        <v>5842</v>
      </c>
      <c r="H43" s="553">
        <f>Input!J128</f>
        <v>6443</v>
      </c>
      <c r="I43" s="553">
        <f>Input!K128</f>
        <v>7044</v>
      </c>
      <c r="J43" s="553">
        <f>Input!L128</f>
        <v>7645</v>
      </c>
      <c r="K43" s="603">
        <f>Input!M128</f>
        <v>8246</v>
      </c>
    </row>
    <row r="44" spans="1:12" x14ac:dyDescent="0.3">
      <c r="A44" s="591" t="s">
        <v>219</v>
      </c>
      <c r="B44" s="602">
        <v>3762</v>
      </c>
      <c r="C44" s="553">
        <v>2915</v>
      </c>
      <c r="D44" s="553">
        <v>2481</v>
      </c>
      <c r="E44" s="553">
        <v>4265</v>
      </c>
      <c r="F44" s="553">
        <v>12395</v>
      </c>
      <c r="G44" s="553">
        <f>Case!B28*Input!$G$129</f>
        <v>4579.258405841977</v>
      </c>
      <c r="H44" s="553">
        <f>Case!C28*Input!$G$129</f>
        <v>5001.9895502289091</v>
      </c>
      <c r="I44" s="553">
        <f>Case!D28*Input!$G$129</f>
        <v>4713.0699808458776</v>
      </c>
      <c r="J44" s="553">
        <f>Case!E28*Input!$G$129</f>
        <v>3832.5770283477418</v>
      </c>
      <c r="K44" s="603">
        <f>Case!F28*Input!$G$129</f>
        <v>6335.4067429906108</v>
      </c>
    </row>
    <row r="45" spans="1:12" x14ac:dyDescent="0.3">
      <c r="A45" s="591" t="s">
        <v>220</v>
      </c>
      <c r="B45" s="602">
        <v>6</v>
      </c>
      <c r="C45" s="553">
        <v>1047</v>
      </c>
      <c r="D45" s="553">
        <v>316</v>
      </c>
      <c r="E45" s="553">
        <v>2322</v>
      </c>
      <c r="F45" s="553">
        <v>1672</v>
      </c>
      <c r="G45" s="553">
        <f>Input!$G$130</f>
        <v>1672</v>
      </c>
      <c r="H45" s="553">
        <f>Input!$G$130</f>
        <v>1672</v>
      </c>
      <c r="I45" s="553">
        <f>Input!$G$130</f>
        <v>1672</v>
      </c>
      <c r="J45" s="553">
        <f>Input!$G$130</f>
        <v>1672</v>
      </c>
      <c r="K45" s="603">
        <f>Input!$G$130</f>
        <v>1672</v>
      </c>
    </row>
    <row r="46" spans="1:12" x14ac:dyDescent="0.3">
      <c r="A46" s="592" t="s">
        <v>321</v>
      </c>
      <c r="B46" s="605">
        <f t="shared" ref="B46:K46" si="4">SUM(B41:B45)</f>
        <v>43489</v>
      </c>
      <c r="C46" s="555">
        <f t="shared" si="4"/>
        <v>74745</v>
      </c>
      <c r="D46" s="555">
        <f t="shared" si="4"/>
        <v>56839</v>
      </c>
      <c r="E46" s="555">
        <f t="shared" si="4"/>
        <v>52601</v>
      </c>
      <c r="F46" s="555">
        <f t="shared" si="4"/>
        <v>68270</v>
      </c>
      <c r="G46" s="555">
        <f ca="1">SUM(G41:G45)</f>
        <v>48291.536084779538</v>
      </c>
      <c r="H46" s="555">
        <f ca="1">SUM(H41:H45)</f>
        <v>29740.978108759162</v>
      </c>
      <c r="I46" s="555">
        <f t="shared" ca="1" si="4"/>
        <v>86608.143660400892</v>
      </c>
      <c r="J46" s="555">
        <f t="shared" ca="1" si="4"/>
        <v>33824.482421653505</v>
      </c>
      <c r="K46" s="606">
        <f t="shared" ca="1" si="4"/>
        <v>107712.03005659807</v>
      </c>
    </row>
    <row r="47" spans="1:12" x14ac:dyDescent="0.3">
      <c r="A47" s="592" t="s">
        <v>322</v>
      </c>
      <c r="B47" s="605">
        <f t="shared" ref="B47:K47" si="5">SUM(B38,B46)</f>
        <v>59365</v>
      </c>
      <c r="C47" s="555">
        <f t="shared" si="5"/>
        <v>88601</v>
      </c>
      <c r="D47" s="555">
        <f t="shared" si="5"/>
        <v>68232</v>
      </c>
      <c r="E47" s="555">
        <f t="shared" si="5"/>
        <v>57889</v>
      </c>
      <c r="F47" s="555">
        <f t="shared" si="5"/>
        <v>72672</v>
      </c>
      <c r="G47" s="555">
        <f ca="1">SUM(G38,G46)</f>
        <v>58150.861304313199</v>
      </c>
      <c r="H47" s="555">
        <f t="shared" ca="1" si="5"/>
        <v>39922.290477307935</v>
      </c>
      <c r="I47" s="555">
        <f t="shared" ca="1" si="5"/>
        <v>97205.670181574693</v>
      </c>
      <c r="J47" s="555">
        <f t="shared" ca="1" si="5"/>
        <v>44942.098280741906</v>
      </c>
      <c r="K47" s="606">
        <f t="shared" ca="1" si="5"/>
        <v>119479.77024541989</v>
      </c>
    </row>
    <row r="48" spans="1:12" ht="18" thickBot="1" x14ac:dyDescent="0.35">
      <c r="A48" s="593" t="s">
        <v>223</v>
      </c>
      <c r="B48" s="613">
        <f t="shared" ref="B48:K48" si="6">SUM(B47,B31)</f>
        <v>193037</v>
      </c>
      <c r="C48" s="614">
        <f t="shared" si="6"/>
        <v>239721</v>
      </c>
      <c r="D48" s="614">
        <f t="shared" si="6"/>
        <v>218720</v>
      </c>
      <c r="E48" s="614">
        <f t="shared" si="6"/>
        <v>248543</v>
      </c>
      <c r="F48" s="614">
        <f t="shared" si="6"/>
        <v>335890</v>
      </c>
      <c r="G48" s="615">
        <f ca="1">SUM(G47,G31)</f>
        <v>452557.81596024841</v>
      </c>
      <c r="H48" s="614">
        <f t="shared" ca="1" si="6"/>
        <v>707648.2506359535</v>
      </c>
      <c r="I48" s="614">
        <f t="shared" ca="1" si="6"/>
        <v>1001359.2885431768</v>
      </c>
      <c r="J48" s="614">
        <f t="shared" ca="1" si="6"/>
        <v>1227383.6368506672</v>
      </c>
      <c r="K48" s="616">
        <f t="shared" ca="1" si="6"/>
        <v>1612162.67391184</v>
      </c>
    </row>
    <row r="50" spans="7:11" x14ac:dyDescent="0.3">
      <c r="G50" s="133"/>
      <c r="H50" s="133"/>
      <c r="I50" s="133"/>
      <c r="J50" s="133"/>
      <c r="K50" s="133"/>
    </row>
    <row r="52" spans="7:11" x14ac:dyDescent="0.3">
      <c r="G52" s="2" t="s">
        <v>323</v>
      </c>
    </row>
  </sheetData>
  <mergeCells count="1">
    <mergeCell ref="A2:K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00B3777-010B-4288-A5D0-CBEED7D8C62D}">
  <sheetPr>
    <tabColor rgb="FFF78937"/>
  </sheetPr>
  <dimension ref="A1:G46"/>
  <sheetViews>
    <sheetView zoomScale="78" workbookViewId="0">
      <pane xSplit="1" ySplit="2" topLeftCell="B3" activePane="bottomRight" state="frozen"/>
      <selection pane="topRight" activeCell="B1" sqref="B1"/>
      <selection pane="bottomLeft" activeCell="A4" sqref="A4"/>
      <selection pane="bottomRight" sqref="A1:F1"/>
    </sheetView>
  </sheetViews>
  <sheetFormatPr defaultRowHeight="14.4" x14ac:dyDescent="0.3"/>
  <cols>
    <col min="1" max="1" width="49.77734375" customWidth="1"/>
    <col min="2" max="2" width="13.21875" customWidth="1"/>
    <col min="3" max="3" width="13.77734375" bestFit="1" customWidth="1"/>
    <col min="4" max="4" width="13.44140625" customWidth="1"/>
    <col min="5" max="5" width="13.77734375" bestFit="1" customWidth="1"/>
    <col min="6" max="6" width="14.21875" bestFit="1" customWidth="1"/>
  </cols>
  <sheetData>
    <row r="1" spans="1:6" ht="18" thickBot="1" x14ac:dyDescent="0.35">
      <c r="A1" s="786" t="s">
        <v>326</v>
      </c>
      <c r="B1" s="787"/>
      <c r="C1" s="787"/>
      <c r="D1" s="787"/>
      <c r="E1" s="787"/>
      <c r="F1" s="788"/>
    </row>
    <row r="2" spans="1:6" ht="15.6" x14ac:dyDescent="0.3">
      <c r="A2" s="569" t="s">
        <v>135</v>
      </c>
      <c r="B2" s="570">
        <v>2023</v>
      </c>
      <c r="C2" s="571">
        <v>2024</v>
      </c>
      <c r="D2" s="571">
        <v>2025</v>
      </c>
      <c r="E2" s="571">
        <v>2026</v>
      </c>
      <c r="F2" s="572">
        <v>2027</v>
      </c>
    </row>
    <row r="3" spans="1:6" x14ac:dyDescent="0.3">
      <c r="A3" s="573" t="s">
        <v>327</v>
      </c>
      <c r="B3" s="141">
        <f ca="1">'Model- Income statement'!G35</f>
        <v>262430.81440237002</v>
      </c>
      <c r="C3" s="139">
        <f ca="1">'Model- Income statement'!H35</f>
        <v>480808.92676581664</v>
      </c>
      <c r="D3" s="139">
        <f ca="1">'Model- Income statement'!I35</f>
        <v>415891.13826374873</v>
      </c>
      <c r="E3" s="139">
        <f ca="1">'Model- Income statement'!J35</f>
        <v>489508.11781659024</v>
      </c>
      <c r="F3" s="574">
        <f ca="1">'Model- Income statement'!K35</f>
        <v>545702.6083975092</v>
      </c>
    </row>
    <row r="4" spans="1:6" x14ac:dyDescent="0.3">
      <c r="A4" s="573" t="s">
        <v>328</v>
      </c>
      <c r="B4" s="141"/>
      <c r="C4" s="139"/>
      <c r="D4" s="139"/>
      <c r="E4" s="139"/>
      <c r="F4" s="574"/>
    </row>
    <row r="5" spans="1:6" x14ac:dyDescent="0.3">
      <c r="A5" s="573" t="s">
        <v>329</v>
      </c>
      <c r="B5" s="141">
        <f>'Model- Income statement'!G32</f>
        <v>7012.0516379140554</v>
      </c>
      <c r="C5" s="139">
        <f>'Model- Income statement'!H32</f>
        <v>6499.5199170883261</v>
      </c>
      <c r="D5" s="139">
        <f>'Model- Income statement'!I32</f>
        <v>6024.4506649404129</v>
      </c>
      <c r="E5" s="139">
        <f>'Model- Income statement'!J32</f>
        <v>5584.1056381530525</v>
      </c>
      <c r="F5" s="574">
        <f>'Model- Income statement'!K32</f>
        <v>5175.9467397615635</v>
      </c>
    </row>
    <row r="6" spans="1:6" x14ac:dyDescent="0.3">
      <c r="A6" s="573" t="s">
        <v>330</v>
      </c>
      <c r="B6" s="141">
        <f ca="1">'Model- Income statement'!G31</f>
        <v>1146.0180854160012</v>
      </c>
      <c r="C6" s="139">
        <f ca="1">'Model- Income statement'!H31</f>
        <v>1213.9158393799662</v>
      </c>
      <c r="D6" s="139">
        <f ca="1">'Model- Income statement'!I31</f>
        <v>1300.2670738799566</v>
      </c>
      <c r="E6" s="139">
        <f ca="1">'Model- Income statement'!J31</f>
        <v>1408.818561357647</v>
      </c>
      <c r="F6" s="574">
        <f ca="1">'Model- Income statement'!K31</f>
        <v>1544.3712399420108</v>
      </c>
    </row>
    <row r="7" spans="1:6" x14ac:dyDescent="0.3">
      <c r="A7" s="573" t="s">
        <v>331</v>
      </c>
      <c r="B7" s="141">
        <f>-'Model- Income statement'!G19</f>
        <v>-26</v>
      </c>
      <c r="C7" s="139">
        <f>-'Model- Income statement'!H19</f>
        <v>-26</v>
      </c>
      <c r="D7" s="139">
        <f>-'Model- Income statement'!I19</f>
        <v>-26</v>
      </c>
      <c r="E7" s="139">
        <f>-'Model- Income statement'!J19</f>
        <v>-26</v>
      </c>
      <c r="F7" s="574">
        <f>-'Model- Income statement'!K19</f>
        <v>-26</v>
      </c>
    </row>
    <row r="8" spans="1:6" x14ac:dyDescent="0.3">
      <c r="A8" s="573" t="s">
        <v>332</v>
      </c>
      <c r="B8" s="141">
        <f ca="1">-'Model- Income statement'!G22</f>
        <v>-2499.1906970657401</v>
      </c>
      <c r="C8" s="139">
        <f ca="1">-'Model- Income statement'!H22</f>
        <v>-2647.2594206032072</v>
      </c>
      <c r="D8" s="139">
        <f ca="1">-'Model- Income statement'!I22</f>
        <v>-2835.5707611386233</v>
      </c>
      <c r="E8" s="139">
        <f ca="1">-'Model- Income statement'!J22</f>
        <v>-3072.2955311132737</v>
      </c>
      <c r="F8" s="574">
        <f ca="1">-'Model- Income statement'!K22</f>
        <v>-3367.9034256059776</v>
      </c>
    </row>
    <row r="9" spans="1:6" ht="17.25" customHeight="1" x14ac:dyDescent="0.3">
      <c r="A9" s="575" t="s">
        <v>333</v>
      </c>
      <c r="B9" s="141">
        <f>-'Model- Income statement'!G21</f>
        <v>0</v>
      </c>
      <c r="C9" s="139">
        <f>-'Model- Income statement'!H21</f>
        <v>0</v>
      </c>
      <c r="D9" s="139">
        <f>-'Model- Income statement'!I21</f>
        <v>0</v>
      </c>
      <c r="E9" s="139">
        <f>-'Model- Income statement'!J21</f>
        <v>0</v>
      </c>
      <c r="F9" s="574">
        <f>-'Model- Income statement'!K21</f>
        <v>0</v>
      </c>
    </row>
    <row r="10" spans="1:6" x14ac:dyDescent="0.3">
      <c r="A10" s="573" t="s">
        <v>334</v>
      </c>
      <c r="B10" s="141">
        <f>-'Model- Income statement'!G20</f>
        <v>0</v>
      </c>
      <c r="C10" s="139">
        <f>-'Model- Income statement'!H20</f>
        <v>0</v>
      </c>
      <c r="D10" s="139">
        <f>-'Model- Income statement'!I20</f>
        <v>0</v>
      </c>
      <c r="E10" s="139">
        <f>-'Model- Income statement'!J20</f>
        <v>0</v>
      </c>
      <c r="F10" s="574">
        <f>-'Model- Income statement'!K20</f>
        <v>0</v>
      </c>
    </row>
    <row r="11" spans="1:6" x14ac:dyDescent="0.3">
      <c r="A11" s="576" t="s">
        <v>335</v>
      </c>
      <c r="B11" s="142">
        <f ca="1">SUM(B3:B10)</f>
        <v>268063.69342863432</v>
      </c>
      <c r="C11" s="140">
        <f ca="1">SUM(C3:C10)</f>
        <v>485849.10310168169</v>
      </c>
      <c r="D11" s="140">
        <f ca="1">SUM(D3:D10)</f>
        <v>420354.28524143045</v>
      </c>
      <c r="E11" s="140">
        <f ca="1">SUM(E3:E10)</f>
        <v>493402.74648498761</v>
      </c>
      <c r="F11" s="577">
        <f ca="1">SUM(F3:F10)</f>
        <v>549029.02295160678</v>
      </c>
    </row>
    <row r="12" spans="1:6" x14ac:dyDescent="0.3">
      <c r="A12" s="573"/>
      <c r="B12" s="141"/>
      <c r="C12" s="139"/>
      <c r="D12" s="139"/>
      <c r="E12" s="139"/>
      <c r="F12" s="574"/>
    </row>
    <row r="13" spans="1:6" x14ac:dyDescent="0.3">
      <c r="A13" s="573" t="s">
        <v>336</v>
      </c>
      <c r="B13" s="141"/>
      <c r="C13" s="139"/>
      <c r="D13" s="139"/>
      <c r="E13" s="139"/>
      <c r="F13" s="574"/>
    </row>
    <row r="14" spans="1:6" x14ac:dyDescent="0.3">
      <c r="A14" s="573" t="s">
        <v>337</v>
      </c>
      <c r="B14" s="141">
        <f ca="1">-('Balance sheet'!G16-'Balance sheet'!F16)</f>
        <v>36941.572125580191</v>
      </c>
      <c r="C14" s="139">
        <f ca="1">-('Balance sheet'!H16-'Balance sheet'!G16)</f>
        <v>42705.438393223616</v>
      </c>
      <c r="D14" s="139">
        <f ca="1">-('Balance sheet'!I16-'Balance sheet'!H16)</f>
        <v>-23181.202499937135</v>
      </c>
      <c r="E14" s="139">
        <f ca="1">-('Balance sheet'!J16-'Balance sheet'!I16)</f>
        <v>-2460.9383761415884</v>
      </c>
      <c r="F14" s="574">
        <f ca="1">-('Balance sheet'!K16-'Balance sheet'!J16)</f>
        <v>-8775.5497358345165</v>
      </c>
    </row>
    <row r="15" spans="1:6" x14ac:dyDescent="0.3">
      <c r="A15" s="573" t="s">
        <v>338</v>
      </c>
      <c r="B15" s="141">
        <f ca="1">-('Balance sheet'!G19-'Balance sheet'!F19)</f>
        <v>-20961.628402924296</v>
      </c>
      <c r="C15" s="139">
        <f ca="1">-('Balance sheet'!H19-'Balance sheet'!G19)</f>
        <v>7986.9561177198484</v>
      </c>
      <c r="D15" s="139">
        <f ca="1">-('Balance sheet'!I19-'Balance sheet'!H19)</f>
        <v>-23739.862501583833</v>
      </c>
      <c r="E15" s="139">
        <f ca="1">-('Balance sheet'!J19-'Balance sheet'!I19)</f>
        <v>4504.6502680718258</v>
      </c>
      <c r="F15" s="574">
        <f ca="1">-('Balance sheet'!K19-'Balance sheet'!J19)</f>
        <v>-28114.039275536255</v>
      </c>
    </row>
    <row r="16" spans="1:6" x14ac:dyDescent="0.3">
      <c r="A16" s="573" t="s">
        <v>339</v>
      </c>
      <c r="B16" s="141">
        <f>'Balance sheet'!G22-'Balance sheet'!F22</f>
        <v>0</v>
      </c>
      <c r="C16" s="139">
        <f>'Balance sheet'!H22-'Balance sheet'!G22</f>
        <v>0</v>
      </c>
      <c r="D16" s="139">
        <f>'Balance sheet'!I22-'Balance sheet'!H22</f>
        <v>0</v>
      </c>
      <c r="E16" s="139">
        <f>'Balance sheet'!J22-'Balance sheet'!I22</f>
        <v>0</v>
      </c>
      <c r="F16" s="574">
        <f>'Balance sheet'!K22-'Balance sheet'!J22</f>
        <v>0</v>
      </c>
    </row>
    <row r="17" spans="1:6" x14ac:dyDescent="0.3">
      <c r="A17" s="573" t="s">
        <v>340</v>
      </c>
      <c r="B17" s="141">
        <f ca="1">-('Balance sheet'!G23-'Balance sheet'!F23)</f>
        <v>-4323.6942086935451</v>
      </c>
      <c r="C17" s="139">
        <f ca="1">-('Balance sheet'!H23-'Balance sheet'!G23)</f>
        <v>-3250.8131282562172</v>
      </c>
      <c r="D17" s="139">
        <f ca="1">-('Balance sheet'!I23-'Balance sheet'!H23)</f>
        <v>-3946.9016060816248</v>
      </c>
      <c r="E17" s="139">
        <f ca="1">-('Balance sheet'!J23-'Balance sheet'!I23)</f>
        <v>-4819.3957488083215</v>
      </c>
      <c r="F17" s="574">
        <f ca="1">-('Balance sheet'!K23-'Balance sheet'!J23)</f>
        <v>-5915.3487693939096</v>
      </c>
    </row>
    <row r="18" spans="1:6" x14ac:dyDescent="0.3">
      <c r="A18" s="573" t="s">
        <v>341</v>
      </c>
      <c r="B18" s="141"/>
      <c r="C18" s="139"/>
      <c r="D18" s="139"/>
      <c r="E18" s="139"/>
      <c r="F18" s="574"/>
    </row>
    <row r="19" spans="1:6" x14ac:dyDescent="0.3">
      <c r="A19" s="573" t="s">
        <v>342</v>
      </c>
      <c r="B19" s="563">
        <f ca="1">('Balance sheet'!G42-'Balance sheet'!F42)</f>
        <v>-6711.9031635133979</v>
      </c>
      <c r="C19" s="564">
        <f ca="1">('Balance sheet'!H42-'Balance sheet'!G42)</f>
        <v>-7856.509544386603</v>
      </c>
      <c r="D19" s="564">
        <f ca="1">('Balance sheet'!I42-'Balance sheet'!H42)</f>
        <v>20633.96016572203</v>
      </c>
      <c r="E19" s="564">
        <f ca="1">('Balance sheet'!J42-'Balance sheet'!I42)</f>
        <v>-19162.459189923873</v>
      </c>
      <c r="F19" s="578">
        <f ca="1">('Balance sheet'!K42-'Balance sheet'!J42)</f>
        <v>24111.37535690303</v>
      </c>
    </row>
    <row r="20" spans="1:6" x14ac:dyDescent="0.3">
      <c r="A20" s="573" t="s">
        <v>343</v>
      </c>
      <c r="B20" s="563">
        <f>('Balance sheet'!G43-'Balance sheet'!F43)</f>
        <v>5799</v>
      </c>
      <c r="C20" s="564">
        <f>('Balance sheet'!H43-'Balance sheet'!G43)</f>
        <v>601</v>
      </c>
      <c r="D20" s="564">
        <f>('Balance sheet'!I43-'Balance sheet'!H43)</f>
        <v>601</v>
      </c>
      <c r="E20" s="564">
        <f>('Balance sheet'!J43-'Balance sheet'!I43)</f>
        <v>601</v>
      </c>
      <c r="F20" s="578">
        <f>('Balance sheet'!K43-'Balance sheet'!J43)</f>
        <v>601</v>
      </c>
    </row>
    <row r="21" spans="1:6" x14ac:dyDescent="0.3">
      <c r="A21" s="573" t="s">
        <v>344</v>
      </c>
      <c r="B21" s="563">
        <f ca="1">('Balance sheet'!G46-'Balance sheet'!F46)</f>
        <v>-19978.463915220462</v>
      </c>
      <c r="C21" s="564">
        <f ca="1">('Balance sheet'!H46-'Balance sheet'!G46)</f>
        <v>-18550.557976020376</v>
      </c>
      <c r="D21" s="564">
        <f ca="1">('Balance sheet'!I46-'Balance sheet'!H46)</f>
        <v>56867.16555164173</v>
      </c>
      <c r="E21" s="564">
        <f ca="1">('Balance sheet'!J46-'Balance sheet'!I46)</f>
        <v>-52783.661238747387</v>
      </c>
      <c r="F21" s="578">
        <f ca="1">('Balance sheet'!K46-'Balance sheet'!J46)</f>
        <v>73887.547634944567</v>
      </c>
    </row>
    <row r="22" spans="1:6" x14ac:dyDescent="0.3">
      <c r="A22" s="573"/>
      <c r="B22" s="563"/>
      <c r="C22" s="564"/>
      <c r="D22" s="564"/>
      <c r="E22" s="564"/>
      <c r="F22" s="578"/>
    </row>
    <row r="23" spans="1:6" x14ac:dyDescent="0.3">
      <c r="A23" s="573" t="s">
        <v>345</v>
      </c>
      <c r="B23" s="563">
        <f ca="1">SUM(B11:B21)</f>
        <v>258828.57586386276</v>
      </c>
      <c r="C23" s="564">
        <f ca="1">SUM(C11:C21)</f>
        <v>507484.61696396186</v>
      </c>
      <c r="D23" s="564">
        <f ca="1">SUM(D11:D21)</f>
        <v>447588.44435119157</v>
      </c>
      <c r="E23" s="564">
        <f ca="1">SUM(E11:E21)</f>
        <v>419281.94219943823</v>
      </c>
      <c r="F23" s="578">
        <f ca="1">SUM(F11:F21)</f>
        <v>604824.00816268974</v>
      </c>
    </row>
    <row r="24" spans="1:6" x14ac:dyDescent="0.3">
      <c r="A24" s="573" t="s">
        <v>346</v>
      </c>
      <c r="B24" s="563">
        <f ca="1">-'Model- Income statement'!G39</f>
        <v>-69957.673943098736</v>
      </c>
      <c r="C24" s="564">
        <f ca="1">-'Model- Income statement'!H39</f>
        <v>-128110.3906332873</v>
      </c>
      <c r="D24" s="564">
        <f ca="1">-'Model- Income statement'!I39</f>
        <v>-110823.19219541748</v>
      </c>
      <c r="E24" s="564">
        <f ca="1">-'Model- Income statement'!J39</f>
        <v>-130426.9304510119</v>
      </c>
      <c r="F24" s="578">
        <f ca="1">-'Model- Income statement'!K39</f>
        <v>-145391.1695633225</v>
      </c>
    </row>
    <row r="25" spans="1:6" x14ac:dyDescent="0.3">
      <c r="A25" s="579" t="s">
        <v>347</v>
      </c>
      <c r="B25" s="565">
        <f ca="1">SUM(B23:B24)</f>
        <v>188870.90192076401</v>
      </c>
      <c r="C25" s="565">
        <f ca="1">SUM(C23:C24)</f>
        <v>379374.22633067454</v>
      </c>
      <c r="D25" s="565">
        <f ca="1">SUM(D23:D24)</f>
        <v>336765.2521557741</v>
      </c>
      <c r="E25" s="565">
        <f ca="1">SUM(E23:E24)</f>
        <v>288855.01174842636</v>
      </c>
      <c r="F25" s="580">
        <f ca="1">SUM(F23:F24)</f>
        <v>459432.83859936724</v>
      </c>
    </row>
    <row r="26" spans="1:6" x14ac:dyDescent="0.3">
      <c r="A26" s="573"/>
      <c r="B26" s="563"/>
      <c r="C26" s="564"/>
      <c r="D26" s="564"/>
      <c r="E26" s="564"/>
      <c r="F26" s="578"/>
    </row>
    <row r="27" spans="1:6" x14ac:dyDescent="0.3">
      <c r="A27" s="581" t="s">
        <v>348</v>
      </c>
      <c r="B27" s="563"/>
      <c r="C27" s="564"/>
      <c r="D27" s="564"/>
      <c r="E27" s="564"/>
      <c r="F27" s="578"/>
    </row>
    <row r="28" spans="1:6" x14ac:dyDescent="0.3">
      <c r="A28" s="573"/>
      <c r="B28" s="563"/>
      <c r="C28" s="564"/>
      <c r="D28" s="564"/>
      <c r="E28" s="564"/>
      <c r="F28" s="578"/>
    </row>
    <row r="29" spans="1:6" x14ac:dyDescent="0.3">
      <c r="A29" s="582" t="s">
        <v>349</v>
      </c>
      <c r="B29" s="563">
        <f ca="1">-('Balance sheet'!G6-'Balance sheet'!F6)</f>
        <v>-4041.8496787123004</v>
      </c>
      <c r="C29" s="564">
        <f ca="1">-('Balance sheet'!H6-'Balance sheet'!G6)</f>
        <v>-5241.8401174736937</v>
      </c>
      <c r="D29" s="564">
        <f ca="1">-('Balance sheet'!I6-'Balance sheet'!H6)</f>
        <v>-6666.4851010484854</v>
      </c>
      <c r="E29" s="564">
        <f ca="1">-('Balance sheet'!J6-'Balance sheet'!I6)</f>
        <v>-8380.3882846255729</v>
      </c>
      <c r="F29" s="578">
        <f ca="1">-('Balance sheet'!K6-'Balance sheet'!J6)</f>
        <v>-10464.933332134067</v>
      </c>
    </row>
    <row r="30" spans="1:6" x14ac:dyDescent="0.3">
      <c r="A30" s="582" t="s">
        <v>350</v>
      </c>
      <c r="B30" s="563">
        <f>-('Balance sheet'!G10-'Balance sheet'!F10)</f>
        <v>4505.3000000007451</v>
      </c>
      <c r="C30" s="564">
        <f>-('Balance sheet'!H10-'Balance sheet'!G10)</f>
        <v>-11084.89999999851</v>
      </c>
      <c r="D30" s="564">
        <f>-('Balance sheet'!I10-'Balance sheet'!H10)</f>
        <v>-11084.900000002235</v>
      </c>
      <c r="E30" s="564">
        <f>-('Balance sheet'!J10-'Balance sheet'!I10)</f>
        <v>-11084.89999999851</v>
      </c>
      <c r="F30" s="578">
        <f>-('Balance sheet'!K10-'Balance sheet'!J10)</f>
        <v>-11084.900000002235</v>
      </c>
    </row>
    <row r="31" spans="1:6" x14ac:dyDescent="0.3">
      <c r="A31" s="583" t="s">
        <v>351</v>
      </c>
      <c r="B31" s="563">
        <f>'Model- Income statement'!G19</f>
        <v>26</v>
      </c>
      <c r="C31" s="564">
        <f>'Model- Income statement'!H19</f>
        <v>26</v>
      </c>
      <c r="D31" s="564">
        <f>'Model- Income statement'!I19</f>
        <v>26</v>
      </c>
      <c r="E31" s="564">
        <f>'Model- Income statement'!J19</f>
        <v>26</v>
      </c>
      <c r="F31" s="578">
        <f>'Model- Income statement'!K19</f>
        <v>26</v>
      </c>
    </row>
    <row r="32" spans="1:6" x14ac:dyDescent="0.3">
      <c r="A32" s="573" t="s">
        <v>352</v>
      </c>
      <c r="B32" s="563">
        <f ca="1">-('Balance sheet'!G13-'Balance sheet'!F13)</f>
        <v>-2717.2273460299721</v>
      </c>
      <c r="C32" s="564">
        <f ca="1">-('Balance sheet'!H13-'Balance sheet'!G13)</f>
        <v>-808.08056750298329</v>
      </c>
      <c r="D32" s="564">
        <f ca="1">-('Balance sheet'!I13-'Balance sheet'!H13)</f>
        <v>-981.11283666179952</v>
      </c>
      <c r="E32" s="564">
        <f ca="1">-('Balance sheet'!J13-'Balance sheet'!I13)</f>
        <v>-1197.9956700271905</v>
      </c>
      <c r="F32" s="578">
        <f ca="1">-('Balance sheet'!K13-'Balance sheet'!J13)</f>
        <v>-1470.4254603259851</v>
      </c>
    </row>
    <row r="33" spans="1:7" x14ac:dyDescent="0.3">
      <c r="A33" s="573" t="s">
        <v>353</v>
      </c>
      <c r="B33" s="563">
        <f>-('Balance sheet'!G8-'Balance sheet'!F8)</f>
        <v>0</v>
      </c>
      <c r="C33" s="564">
        <f>-('Balance sheet'!H8-'Balance sheet'!G8)</f>
        <v>0</v>
      </c>
      <c r="D33" s="564">
        <f>-('Balance sheet'!I8-'Balance sheet'!H8)</f>
        <v>0</v>
      </c>
      <c r="E33" s="564">
        <f>-('Balance sheet'!J8-'Balance sheet'!I8)</f>
        <v>0</v>
      </c>
      <c r="F33" s="578">
        <f>-('Balance sheet'!K8-'Balance sheet'!J8)</f>
        <v>0</v>
      </c>
    </row>
    <row r="34" spans="1:7" x14ac:dyDescent="0.3">
      <c r="A34" s="579" t="s">
        <v>354</v>
      </c>
      <c r="B34" s="565">
        <f ca="1">SUM(B29:B33)</f>
        <v>-2227.7770247415274</v>
      </c>
      <c r="C34" s="566">
        <f ca="1">SUM(C29:C33)</f>
        <v>-17108.820684975188</v>
      </c>
      <c r="D34" s="566">
        <f ca="1">SUM(D29:D33)</f>
        <v>-18706.49793771252</v>
      </c>
      <c r="E34" s="566">
        <f ca="1">SUM(E29:E33)</f>
        <v>-20637.283954651273</v>
      </c>
      <c r="F34" s="584">
        <f ca="1">SUM(F29:F33)</f>
        <v>-22994.258792462286</v>
      </c>
    </row>
    <row r="35" spans="1:7" x14ac:dyDescent="0.3">
      <c r="A35" s="576"/>
      <c r="B35" s="563"/>
      <c r="C35" s="564"/>
      <c r="D35" s="564"/>
      <c r="E35" s="564"/>
      <c r="F35" s="578"/>
    </row>
    <row r="36" spans="1:7" x14ac:dyDescent="0.3">
      <c r="A36" s="579" t="s">
        <v>355</v>
      </c>
      <c r="B36" s="563"/>
      <c r="C36" s="564"/>
      <c r="D36" s="564"/>
      <c r="E36" s="564"/>
      <c r="F36" s="578"/>
    </row>
    <row r="37" spans="1:7" x14ac:dyDescent="0.3">
      <c r="A37" s="573" t="s">
        <v>356</v>
      </c>
      <c r="B37" s="563">
        <f ca="1">('Balance sheet'!G35-'Balance sheet'!F35)</f>
        <v>5456.4420201163994</v>
      </c>
      <c r="C37" s="564">
        <f ca="1">('Balance sheet'!H35-'Balance sheet'!G35)</f>
        <v>325.11266001368404</v>
      </c>
      <c r="D37" s="564">
        <f ca="1">('Balance sheet'!I35-'Balance sheet'!H35)</f>
        <v>413.47287509181569</v>
      </c>
      <c r="E37" s="564">
        <f ca="1">('Balance sheet'!J35-'Balance sheet'!I35)</f>
        <v>519.77364171787212</v>
      </c>
      <c r="F37" s="578">
        <f ca="1">('Balance sheet'!K35-'Balance sheet'!J35)</f>
        <v>649.06258798975068</v>
      </c>
    </row>
    <row r="38" spans="1:7" x14ac:dyDescent="0.3">
      <c r="A38" s="573" t="s">
        <v>357</v>
      </c>
      <c r="B38" s="563">
        <f ca="1">('Balance sheet'!G41-'Balance sheet'!F41)</f>
        <v>-11249.819157549042</v>
      </c>
      <c r="C38" s="564">
        <f ca="1">('Balance sheet'!H41-'Balance sheet'!G41)</f>
        <v>-11717.779576020705</v>
      </c>
      <c r="D38" s="564">
        <f ca="1">('Balance sheet'!I41-'Balance sheet'!H41)</f>
        <v>35921.12495530273</v>
      </c>
      <c r="E38" s="564">
        <f ca="1">('Balance sheet'!J41-'Balance sheet'!I41)</f>
        <v>-33341.70909632538</v>
      </c>
      <c r="F38" s="578">
        <f ca="1">('Balance sheet'!K41-'Balance sheet'!J41)</f>
        <v>46672.34256339867</v>
      </c>
    </row>
    <row r="39" spans="1:7" x14ac:dyDescent="0.3">
      <c r="A39" s="573" t="s">
        <v>358</v>
      </c>
      <c r="B39" s="563">
        <f ca="1">-Input!I113</f>
        <v>-43306.456603336039</v>
      </c>
      <c r="C39" s="564">
        <f ca="1">-Input!J113</f>
        <v>-79357.170629819098</v>
      </c>
      <c r="D39" s="564">
        <f ca="1">-Input!K113</f>
        <v>-68640.287865374528</v>
      </c>
      <c r="E39" s="564">
        <f ca="1">-Input!L113</f>
        <v>-80793.267157255133</v>
      </c>
      <c r="F39" s="578">
        <f ca="1">-Input!M113</f>
        <v>-90070.073737692015</v>
      </c>
    </row>
    <row r="40" spans="1:7" x14ac:dyDescent="0.3">
      <c r="A40" s="573" t="s">
        <v>359</v>
      </c>
      <c r="B40" s="563"/>
      <c r="C40" s="564">
        <f>-805*Input!J109</f>
        <v>-17999.8</v>
      </c>
      <c r="D40" s="564"/>
      <c r="E40" s="564"/>
      <c r="F40" s="578"/>
    </row>
    <row r="41" spans="1:7" x14ac:dyDescent="0.3">
      <c r="A41" s="573" t="s">
        <v>360</v>
      </c>
      <c r="B41" s="563">
        <f ca="1">('Balance sheet'!G11-'Balance sheet'!F11)</f>
        <v>937.42025553096505</v>
      </c>
      <c r="C41" s="564">
        <f ca="1">('Balance sheet'!H11-'Balance sheet'!G11)</f>
        <v>130.08999061262125</v>
      </c>
      <c r="D41" s="564">
        <f ca="1">('Balance sheet'!I11-'Balance sheet'!H11)</f>
        <v>142.35586176380502</v>
      </c>
      <c r="E41" s="564">
        <f ca="1">('Balance sheet'!J11-'Balance sheet'!I11)</f>
        <v>157.1899432635023</v>
      </c>
      <c r="F41" s="578">
        <f ca="1">('Balance sheet'!K11-'Balance sheet'!J11)</f>
        <v>175.30909057925965</v>
      </c>
    </row>
    <row r="42" spans="1:7" x14ac:dyDescent="0.3">
      <c r="A42" s="579" t="s">
        <v>361</v>
      </c>
      <c r="B42" s="565">
        <f ca="1">SUM(B37:B41)</f>
        <v>-48162.41348523771</v>
      </c>
      <c r="C42" s="566">
        <f ca="1">SUM(C37:C41)</f>
        <v>-108619.5475552135</v>
      </c>
      <c r="D42" s="566">
        <f ca="1">SUM(D37:D41)</f>
        <v>-32163.334173216179</v>
      </c>
      <c r="E42" s="566">
        <f ca="1">SUM(E37:E41)</f>
        <v>-113458.01266859914</v>
      </c>
      <c r="F42" s="584">
        <f ca="1">SUM(F37:F41)</f>
        <v>-42573.359495724333</v>
      </c>
      <c r="G42" s="1"/>
    </row>
    <row r="43" spans="1:7" x14ac:dyDescent="0.3">
      <c r="A43" s="576"/>
      <c r="B43" s="563"/>
      <c r="C43" s="564"/>
      <c r="D43" s="564"/>
      <c r="E43" s="564"/>
      <c r="F43" s="578"/>
    </row>
    <row r="44" spans="1:7" x14ac:dyDescent="0.3">
      <c r="A44" s="585" t="s">
        <v>362</v>
      </c>
      <c r="B44" s="567">
        <f ca="1">B25+B34+B42</f>
        <v>138480.71141078477</v>
      </c>
      <c r="C44" s="568">
        <f ca="1">C25+C34+C42</f>
        <v>253645.85809048585</v>
      </c>
      <c r="D44" s="568">
        <f ca="1">D25+D34+D42</f>
        <v>285895.42004484538</v>
      </c>
      <c r="E44" s="568">
        <f ca="1">E25+E34+E42</f>
        <v>154759.71512517595</v>
      </c>
      <c r="F44" s="586">
        <f ca="1">F25+F34+F42</f>
        <v>393865.22031118063</v>
      </c>
    </row>
    <row r="45" spans="1:7" x14ac:dyDescent="0.3">
      <c r="A45" s="582" t="s">
        <v>363</v>
      </c>
      <c r="B45" s="563">
        <f>'Balance sheet'!F20</f>
        <v>9561</v>
      </c>
      <c r="C45" s="564">
        <f ca="1">'Balance sheet'!G20</f>
        <v>148041.71141078477</v>
      </c>
      <c r="D45" s="564">
        <f ca="1">'Balance sheet'!H20</f>
        <v>401687.56950127066</v>
      </c>
      <c r="E45" s="564">
        <f ca="1">'Balance sheet'!I20</f>
        <v>687582.98954611598</v>
      </c>
      <c r="F45" s="578">
        <f ca="1">'Balance sheet'!J20</f>
        <v>842342.70467129187</v>
      </c>
    </row>
    <row r="46" spans="1:7" ht="15" thickBot="1" x14ac:dyDescent="0.35">
      <c r="A46" s="587" t="s">
        <v>364</v>
      </c>
      <c r="B46" s="588">
        <f ca="1">B44+B45</f>
        <v>148041.71141078477</v>
      </c>
      <c r="C46" s="589">
        <f ca="1">C44+C45</f>
        <v>401687.56950127066</v>
      </c>
      <c r="D46" s="589">
        <f ca="1">D44+D45</f>
        <v>687582.98954611598</v>
      </c>
      <c r="E46" s="589">
        <f ca="1">E44+E45</f>
        <v>842342.70467129187</v>
      </c>
      <c r="F46" s="590">
        <f ca="1">F44+F45</f>
        <v>1236207.9249824726</v>
      </c>
    </row>
  </sheetData>
  <mergeCells count="1">
    <mergeCell ref="A1:F1"/>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7AE5C0-6661-442C-AD8C-DFF55DCF9E76}">
  <sheetPr>
    <tabColor theme="4" tint="-0.249977111117893"/>
  </sheetPr>
  <dimension ref="A1:H24"/>
  <sheetViews>
    <sheetView zoomScale="83" workbookViewId="0">
      <pane xSplit="1" ySplit="2" topLeftCell="B3" activePane="bottomRight" state="frozen"/>
      <selection pane="topRight" activeCell="B1" sqref="B1"/>
      <selection pane="bottomLeft" activeCell="A3" sqref="A3"/>
      <selection pane="bottomRight" activeCell="H17" sqref="H17"/>
    </sheetView>
  </sheetViews>
  <sheetFormatPr defaultColWidth="9.21875" defaultRowHeight="15.6" x14ac:dyDescent="0.3"/>
  <cols>
    <col min="1" max="1" width="7.21875" style="2" customWidth="1"/>
    <col min="2" max="2" width="23.21875" style="2" bestFit="1" customWidth="1"/>
    <col min="3" max="7" width="13.77734375" style="2" bestFit="1" customWidth="1"/>
    <col min="8" max="16384" width="9.21875" style="2"/>
  </cols>
  <sheetData>
    <row r="1" spans="1:8" ht="16.2" thickBot="1" x14ac:dyDescent="0.35"/>
    <row r="2" spans="1:8" ht="34.799999999999997" x14ac:dyDescent="0.3">
      <c r="A2" s="617" t="s">
        <v>14</v>
      </c>
      <c r="B2" s="618" t="s">
        <v>194</v>
      </c>
      <c r="C2" s="618">
        <v>2023</v>
      </c>
      <c r="D2" s="618">
        <v>2024</v>
      </c>
      <c r="E2" s="618">
        <v>2025</v>
      </c>
      <c r="F2" s="618">
        <v>2026</v>
      </c>
      <c r="G2" s="619">
        <v>2027</v>
      </c>
    </row>
    <row r="3" spans="1:8" ht="16.5" customHeight="1" x14ac:dyDescent="0.3">
      <c r="A3" s="620">
        <v>1</v>
      </c>
      <c r="B3" s="158" t="s">
        <v>387</v>
      </c>
      <c r="C3" s="158">
        <f ca="1">'Balance sheet'!G24/'Balance sheet'!G46</f>
        <v>6.6184737080160803</v>
      </c>
      <c r="D3" s="159">
        <f ca="1">'Balance sheet'!H24/'Balance sheet'!H46</f>
        <v>18.228282090189762</v>
      </c>
      <c r="E3" s="159">
        <f ca="1">'Balance sheet'!I24/'Balance sheet'!I46</f>
        <v>10.39028687785912</v>
      </c>
      <c r="F3" s="159">
        <f ca="1">'Balance sheet'!J24/'Balance sheet'!J46</f>
        <v>30.589836616196521</v>
      </c>
      <c r="G3" s="621">
        <f ca="1">'Balance sheet'!K24/'Balance sheet'!K46</f>
        <v>13.968626174258063</v>
      </c>
      <c r="H3"/>
    </row>
    <row r="4" spans="1:8" x14ac:dyDescent="0.3">
      <c r="A4" s="620">
        <v>2</v>
      </c>
      <c r="B4" s="158" t="s">
        <v>388</v>
      </c>
      <c r="C4" s="159">
        <f ca="1">('Balance sheet'!G24-'Balance sheet'!G16)/'Balance sheet'!G46</f>
        <v>5.6193663739748523</v>
      </c>
      <c r="D4" s="159">
        <f ca="1">('Balance sheet'!H24-'Balance sheet'!H16)/'Balance sheet'!H46</f>
        <v>18.041906596387033</v>
      </c>
      <c r="E4" s="159">
        <f ca="1">('Balance sheet'!I24-'Balance sheet'!I16)/'Balance sheet'!I46</f>
        <v>10.058629936985712</v>
      </c>
      <c r="F4" s="159">
        <f ca="1">('Balance sheet'!J24-'Balance sheet'!J16)/'Balance sheet'!J46</f>
        <v>29.667867435160037</v>
      </c>
      <c r="G4" s="621">
        <f ca="1">('Balance sheet'!K24-'Balance sheet'!K16)/'Balance sheet'!K46</f>
        <v>13.597630658974284</v>
      </c>
      <c r="H4"/>
    </row>
    <row r="5" spans="1:8" x14ac:dyDescent="0.3">
      <c r="A5" s="620">
        <v>3</v>
      </c>
      <c r="B5" s="158" t="s">
        <v>389</v>
      </c>
      <c r="C5" s="247">
        <f ca="1">'Model- Income statement'!G40/'Balance sheet'!G31</f>
        <v>0.48800645675017851</v>
      </c>
      <c r="D5" s="247">
        <f ca="1">'Model- Income statement'!H40/'Balance sheet'!H31</f>
        <v>0.52820851243934175</v>
      </c>
      <c r="E5" s="247">
        <f ca="1">'Model- Income statement'!I40/'Balance sheet'!I31</f>
        <v>0.3374072058917803</v>
      </c>
      <c r="F5" s="247">
        <f ca="1">'Model- Income statement'!J40/'Balance sheet'!J31</f>
        <v>0.3036777512060852</v>
      </c>
      <c r="G5" s="622">
        <f ca="1">'Model- Income statement'!K40/'Balance sheet'!K31</f>
        <v>0.26818250403412336</v>
      </c>
      <c r="H5"/>
    </row>
    <row r="6" spans="1:8" x14ac:dyDescent="0.3">
      <c r="A6" s="620">
        <v>4</v>
      </c>
      <c r="B6" s="158" t="s">
        <v>390</v>
      </c>
      <c r="C6" s="247">
        <f ca="1">'Model- Income statement'!G40/('Balance sheet'!G31+'Balance sheet'!G38)</f>
        <v>0.47610485969436073</v>
      </c>
      <c r="D6" s="247">
        <f ca="1">'Model- Income statement'!H40/('Balance sheet'!H31+'Balance sheet'!H38)</f>
        <v>0.5202754866719338</v>
      </c>
      <c r="E6" s="247">
        <f ca="1">'Model- Income statement'!I40/('Balance sheet'!I31+'Balance sheet'!I38)</f>
        <v>0.33349829379817314</v>
      </c>
      <c r="F6" s="247">
        <f ca="1">'Model- Income statement'!J40/('Balance sheet'!J31+'Balance sheet'!J38)</f>
        <v>0.30084909158721929</v>
      </c>
      <c r="G6" s="622">
        <f ca="1">'Model- Income statement'!K40/('Balance sheet'!K31+'Balance sheet'!K38)</f>
        <v>0.26608479345548047</v>
      </c>
      <c r="H6"/>
    </row>
    <row r="7" spans="1:8" x14ac:dyDescent="0.3">
      <c r="A7" s="620">
        <v>5</v>
      </c>
      <c r="B7" s="158" t="s">
        <v>313</v>
      </c>
      <c r="C7" s="288">
        <f ca="1">+'Model- Income statement'!G40/Input!I135</f>
        <v>55.939935567752826</v>
      </c>
      <c r="D7" s="288">
        <f ca="1">+'Model- Income statement'!H40/Input!J135</f>
        <v>102.84162957000689</v>
      </c>
      <c r="E7" s="288">
        <f ca="1">+'Model- Income statement'!I40/Input!K135</f>
        <v>89.244189352459458</v>
      </c>
      <c r="F7" s="288">
        <f ca="1">+'Model- Income statement'!J40/Input!L135</f>
        <v>105.04515433745958</v>
      </c>
      <c r="G7" s="623">
        <f ca="1">+'Model- Income statement'!K40/Input!M135</f>
        <v>117.106599718843</v>
      </c>
      <c r="H7"/>
    </row>
    <row r="8" spans="1:8" x14ac:dyDescent="0.3">
      <c r="A8" s="620">
        <v>6</v>
      </c>
      <c r="B8" s="158" t="s">
        <v>391</v>
      </c>
      <c r="C8" s="289">
        <f ca="1">C7*Input!$G$114</f>
        <v>12.586485502744386</v>
      </c>
      <c r="D8" s="289">
        <f ca="1">D7*Input!$G$114</f>
        <v>23.13936665325155</v>
      </c>
      <c r="E8" s="289">
        <f ca="1">E7*Input!$G$114</f>
        <v>20.07994260430338</v>
      </c>
      <c r="F8" s="289">
        <f ca="1">F7*Input!$G$114</f>
        <v>23.635159725928407</v>
      </c>
      <c r="G8" s="624">
        <f ca="1">G7*Input!$G$114</f>
        <v>26.348984936739676</v>
      </c>
      <c r="H8"/>
    </row>
    <row r="9" spans="1:8" x14ac:dyDescent="0.3">
      <c r="A9" s="620">
        <v>7</v>
      </c>
      <c r="B9" s="158" t="s">
        <v>312</v>
      </c>
      <c r="C9" s="261">
        <f ca="1">(('Balance sheet'!G25-'Balance sheet'!G46-'Balance sheet'!G35))/(Input!I135)</f>
        <v>121.67058785132194</v>
      </c>
      <c r="D9" s="261">
        <f ca="1">(('Balance sheet'!H25-'Balance sheet'!H46-'Balance sheet'!H35))/(Input!J135)</f>
        <v>197.34008553375284</v>
      </c>
      <c r="E9" s="261">
        <f ca="1">(('Balance sheet'!I25-'Balance sheet'!I46-'Balance sheet'!I35))/(Input!K135)</f>
        <v>291.46108274894357</v>
      </c>
      <c r="F9" s="261">
        <f ca="1">(('Balance sheet'!J25-'Balance sheet'!J46-'Balance sheet'!J35))/(Input!L135)</f>
        <v>352.34073969840239</v>
      </c>
      <c r="G9" s="625">
        <f ca="1">(('Balance sheet'!K25-'Balance sheet'!K46-'Balance sheet'!K35))/(Input!M135)</f>
        <v>474.86614048445125</v>
      </c>
    </row>
    <row r="10" spans="1:8" x14ac:dyDescent="0.3">
      <c r="A10" s="620">
        <v>8</v>
      </c>
      <c r="B10" s="158" t="s">
        <v>392</v>
      </c>
      <c r="C10" s="247">
        <f ca="1">'Model- Income statement'!G40/'Model- Income statement'!G17</f>
        <v>0.4216219428677786</v>
      </c>
      <c r="D10" s="247">
        <f ca="1">'Model- Income statement'!H40/'Model- Income statement'!H17</f>
        <v>0.68346903644673795</v>
      </c>
      <c r="E10" s="247">
        <f ca="1">'Model- Income statement'!I40/'Model- Income statement'!I17</f>
        <v>0.51853633160907997</v>
      </c>
      <c r="F10" s="247">
        <f ca="1">'Model- Income statement'!J40/'Model- Income statement'!J17</f>
        <v>0.53072407848696823</v>
      </c>
      <c r="G10" s="622">
        <f ca="1">'Model- Income statement'!K40/'Model- Income statement'!K17</f>
        <v>0.51000234159098135</v>
      </c>
    </row>
    <row r="11" spans="1:8" x14ac:dyDescent="0.3">
      <c r="A11" s="620">
        <v>9</v>
      </c>
      <c r="B11" s="158" t="s">
        <v>393</v>
      </c>
      <c r="C11" s="162">
        <f ca="1">('Balance sheet'!G35+'Balance sheet'!G41)/Input!I116</f>
        <v>9.1255041113473767E-2</v>
      </c>
      <c r="D11" s="162">
        <f ca="1">('Balance sheet'!H35+'Balance sheet'!H41)/Input!J116</f>
        <v>3.6839897524301515E-2</v>
      </c>
      <c r="E11" s="162">
        <f ca="1">('Balance sheet'!I35+'Balance sheet'!I41)/Input!K116</f>
        <v>6.7392921445551812E-2</v>
      </c>
      <c r="F11" s="162">
        <f ca="1">('Balance sheet'!J35+'Balance sheet'!J41)/Input!L116</f>
        <v>2.3774214120003159E-2</v>
      </c>
      <c r="G11" s="626">
        <f ca="1">('Balance sheet'!K35+'Balance sheet'!K41)/Input!M116</f>
        <v>5.0535196248615522E-2</v>
      </c>
    </row>
    <row r="12" spans="1:8" x14ac:dyDescent="0.3">
      <c r="A12" s="620">
        <v>10</v>
      </c>
      <c r="B12" s="158" t="s">
        <v>394</v>
      </c>
      <c r="C12" s="159">
        <f ca="1">'Model- Income statement'!G27/AVERAGE('Balance sheet'!F16:G16)</f>
        <v>2.0917374208267923</v>
      </c>
      <c r="D12" s="159">
        <f ca="1">'Model- Income statement'!H27/AVERAGE('Balance sheet'!G16:H16)</f>
        <v>1.0124557474709293</v>
      </c>
      <c r="E12" s="159">
        <f ca="1">'Model- Income statement'!I27/AVERAGE('Balance sheet'!H16:I16)</f>
        <v>7.3393858586169793</v>
      </c>
      <c r="F12" s="159">
        <f ca="1">'Model- Income statement'!J27/AVERAGE('Balance sheet'!I16:J16)</f>
        <v>4.576780260415231</v>
      </c>
      <c r="G12" s="621">
        <f ca="1">'Model- Income statement'!K27/AVERAGE('Balance sheet'!J16:K16)</f>
        <v>4.9266161594910312</v>
      </c>
    </row>
    <row r="13" spans="1:8" x14ac:dyDescent="0.3">
      <c r="A13" s="620">
        <v>11</v>
      </c>
      <c r="B13" s="158" t="s">
        <v>395</v>
      </c>
      <c r="C13" s="159">
        <f ca="1">'Model- Income statement'!G17/AVERAGE('Balance sheet'!F19:G19)</f>
        <v>9.1771503050559016</v>
      </c>
      <c r="D13" s="159">
        <f ca="1">'Model- Income statement'!H17/AVERAGE('Balance sheet'!G19:H19)</f>
        <v>9.1771503050559016</v>
      </c>
      <c r="E13" s="159">
        <f ca="1">'Model- Income statement'!I17/AVERAGE('Balance sheet'!H19:I19)</f>
        <v>9.1771503050559016</v>
      </c>
      <c r="F13" s="159">
        <f ca="1">'Model- Income statement'!J17/AVERAGE('Balance sheet'!I19:J19)</f>
        <v>9.1771503050559016</v>
      </c>
      <c r="G13" s="621">
        <f ca="1">'Model- Income statement'!K17/AVERAGE('Balance sheet'!J19:K19)</f>
        <v>9.1771503050559016</v>
      </c>
    </row>
    <row r="14" spans="1:8" x14ac:dyDescent="0.3">
      <c r="A14" s="620">
        <v>12</v>
      </c>
      <c r="B14" s="158" t="s">
        <v>396</v>
      </c>
      <c r="C14" s="162">
        <f ca="1">'Model- Income statement'!G27/AVERAGE('Balance sheet'!F42:G42)</f>
        <v>15.420809926197073</v>
      </c>
      <c r="D14" s="162">
        <f ca="1">'Model- Income statement'!H27/AVERAGE('Balance sheet'!G42:H42)</f>
        <v>15.420809926197073</v>
      </c>
      <c r="E14" s="162">
        <f ca="1">'Model- Income statement'!I27/AVERAGE('Balance sheet'!H42:I42)</f>
        <v>15.420809926197073</v>
      </c>
      <c r="F14" s="162">
        <f ca="1">'Model- Income statement'!J27/AVERAGE('Balance sheet'!I42:J42)</f>
        <v>15.420809926197075</v>
      </c>
      <c r="G14" s="626">
        <f ca="1">'Model- Income statement'!K27/AVERAGE('Balance sheet'!J42:K42)</f>
        <v>15.420809926197073</v>
      </c>
    </row>
    <row r="15" spans="1:8" x14ac:dyDescent="0.3">
      <c r="A15" s="620">
        <v>13</v>
      </c>
      <c r="B15" s="158" t="s">
        <v>397</v>
      </c>
      <c r="C15" s="162">
        <f ca="1">('Model- Income statement'!G25/'Model- Income statement'!F25)-1</f>
        <v>0.11311509600235237</v>
      </c>
      <c r="D15" s="162">
        <f ca="1">('Model- Income statement'!H25/'Model- Income statement'!G25)-1</f>
        <v>0.12894281222426796</v>
      </c>
      <c r="E15" s="162">
        <f ca="1">('Model- Income statement'!I25/'Model- Income statement'!H25)-1</f>
        <v>0.13868856417782438</v>
      </c>
      <c r="F15" s="162">
        <f ca="1">('Model- Income statement'!J25/'Model- Income statement'!I25)-1</f>
        <v>0.14873229672453392</v>
      </c>
      <c r="G15" s="626">
        <f ca="1">('Model- Income statement'!K25/'Model- Income statement'!J25)-1</f>
        <v>0.15892580203496598</v>
      </c>
    </row>
    <row r="16" spans="1:8" x14ac:dyDescent="0.3">
      <c r="A16" s="620">
        <v>14</v>
      </c>
      <c r="B16" s="158" t="s">
        <v>398</v>
      </c>
      <c r="C16" s="162">
        <f ca="1">('Model- Income statement'!G40/'Model- Income statement'!F40)-1</f>
        <v>1.6337320807234712</v>
      </c>
      <c r="D16" s="162">
        <f ca="1">('Model- Income statement'!H40/'Model- Income statement'!G40)-1</f>
        <v>0.83245587041877633</v>
      </c>
      <c r="E16" s="162">
        <f ca="1">('Model- Income statement'!I40/'Model- Income statement'!H40)-1</f>
        <v>-0.13504618019253845</v>
      </c>
      <c r="F16" s="162">
        <f ca="1">('Model- Income statement'!J40/'Model- Income statement'!I40)-1</f>
        <v>0.17705315157938251</v>
      </c>
      <c r="G16" s="626">
        <f ca="1">('Model- Income statement'!K40/'Model- Income statement'!J40)-1</f>
        <v>0.11482153039288034</v>
      </c>
    </row>
    <row r="17" spans="1:7" x14ac:dyDescent="0.3">
      <c r="A17" s="620">
        <v>15</v>
      </c>
      <c r="B17" s="158" t="s">
        <v>316</v>
      </c>
      <c r="C17" s="162">
        <f ca="1">Input!I144</f>
        <v>7.1740841505306649</v>
      </c>
      <c r="D17" s="162">
        <f ca="1">Input!J144</f>
        <v>11.276752204163333</v>
      </c>
      <c r="E17" s="162">
        <f ca="1">Input!K144</f>
        <v>8.0906897321081264</v>
      </c>
      <c r="F17" s="162">
        <f ca="1">Input!L144</f>
        <v>8.1780448854111949</v>
      </c>
      <c r="G17" s="626">
        <f ca="1">Input!M144</f>
        <v>7.5473694332119141</v>
      </c>
    </row>
    <row r="18" spans="1:7" x14ac:dyDescent="0.3">
      <c r="A18" s="620">
        <v>16</v>
      </c>
      <c r="B18" s="158" t="s">
        <v>399</v>
      </c>
      <c r="C18" s="162">
        <f ca="1">Input!I145</f>
        <v>12.598392160992502</v>
      </c>
      <c r="D18" s="162">
        <f ca="1">Input!J145</f>
        <v>12.224870057678626</v>
      </c>
      <c r="E18" s="162">
        <f ca="1">Input!K145</f>
        <v>11.539393593445496</v>
      </c>
      <c r="F18" s="162">
        <f ca="1">Input!L145</f>
        <v>11.38657468008029</v>
      </c>
      <c r="G18" s="626">
        <f ca="1">Input!M145</f>
        <v>10.924950845081119</v>
      </c>
    </row>
    <row r="19" spans="1:7" x14ac:dyDescent="0.3">
      <c r="A19" s="620">
        <v>17</v>
      </c>
      <c r="B19" s="158" t="s">
        <v>400</v>
      </c>
      <c r="C19" s="159">
        <f ca="1">C7*Input!$G$141</f>
        <v>997.67012931792317</v>
      </c>
      <c r="D19" s="159">
        <f ca="1">D7*Input!$G$141</f>
        <v>1834.1462290049678</v>
      </c>
      <c r="E19" s="159">
        <f ca="1">E7*Input!$G$141</f>
        <v>1591.6404091009958</v>
      </c>
      <c r="F19" s="159">
        <f ca="1">F7*Input!$G$141</f>
        <v>1873.4453597134248</v>
      </c>
      <c r="G19" s="621">
        <f ca="1">G7*Input!$G$141</f>
        <v>2088.5572230231605</v>
      </c>
    </row>
    <row r="20" spans="1:7" x14ac:dyDescent="0.3">
      <c r="A20" s="620">
        <v>18</v>
      </c>
      <c r="B20" s="158" t="s">
        <v>401</v>
      </c>
      <c r="C20" s="159">
        <f ca="1">C19/C7</f>
        <v>17.834667115581034</v>
      </c>
      <c r="D20" s="159">
        <f t="shared" ref="D20:G20" ca="1" si="0">D19/D7</f>
        <v>17.834667115581034</v>
      </c>
      <c r="E20" s="159">
        <f t="shared" ca="1" si="0"/>
        <v>17.834667115581034</v>
      </c>
      <c r="F20" s="159">
        <f t="shared" ca="1" si="0"/>
        <v>17.834667115581034</v>
      </c>
      <c r="G20" s="621">
        <f t="shared" ca="1" si="0"/>
        <v>17.834667115581034</v>
      </c>
    </row>
    <row r="21" spans="1:7" x14ac:dyDescent="0.3">
      <c r="A21" s="620">
        <v>19</v>
      </c>
      <c r="B21" s="158" t="s">
        <v>402</v>
      </c>
      <c r="C21" s="159">
        <f ca="1">C19/C9</f>
        <v>8.1997641906443999</v>
      </c>
      <c r="D21" s="159">
        <f t="shared" ref="D21:G21" ca="1" si="1">D19/D9</f>
        <v>9.2943419176295912</v>
      </c>
      <c r="E21" s="159">
        <f t="shared" ca="1" si="1"/>
        <v>5.4609019979246778</v>
      </c>
      <c r="F21" s="159">
        <f t="shared" ca="1" si="1"/>
        <v>5.3171409054685581</v>
      </c>
      <c r="G21" s="621">
        <f t="shared" ca="1" si="1"/>
        <v>4.3982020299287843</v>
      </c>
    </row>
    <row r="22" spans="1:7" ht="16.2" thickBot="1" x14ac:dyDescent="0.35">
      <c r="A22" s="627">
        <v>20</v>
      </c>
      <c r="B22" s="628" t="s">
        <v>403</v>
      </c>
      <c r="C22" s="629">
        <f ca="1">Input!I138/'Model- Income statement'!G13</f>
        <v>5.3129729628066134</v>
      </c>
      <c r="D22" s="629">
        <f ca="1">Input!J138/'Model- Income statement'!H13</f>
        <v>8.8392275299864913</v>
      </c>
      <c r="E22" s="629">
        <f ca="1">Input!K138/'Model- Income statement'!I13</f>
        <v>6.7283584306074058</v>
      </c>
      <c r="F22" s="629">
        <f ca="1">Input!L138/'Model- Income statement'!J13</f>
        <v>6.9508526342454608</v>
      </c>
      <c r="G22" s="630">
        <f ca="1">Input!M138/'Model- Income statement'!K13</f>
        <v>6.7293504416077079</v>
      </c>
    </row>
    <row r="24" spans="1:7" x14ac:dyDescent="0.3">
      <c r="D24" s="2" t="s">
        <v>323</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F929F4-BE01-4BA1-B34E-8B6D5B71E305}">
  <sheetPr>
    <tabColor theme="2" tint="-9.9978637043366805E-2"/>
  </sheetPr>
  <dimension ref="B1:L251"/>
  <sheetViews>
    <sheetView zoomScale="85" zoomScaleNormal="85" workbookViewId="0">
      <selection activeCell="L6" sqref="L6"/>
    </sheetView>
  </sheetViews>
  <sheetFormatPr defaultColWidth="8.77734375" defaultRowHeight="15.6" x14ac:dyDescent="0.3"/>
  <cols>
    <col min="1" max="1" width="8.77734375" style="2"/>
    <col min="2" max="2" width="12.77734375" style="2" customWidth="1"/>
    <col min="3" max="3" width="13.5546875" style="2" customWidth="1"/>
    <col min="4" max="4" width="13.77734375" style="2" customWidth="1"/>
    <col min="5" max="6" width="8.77734375" style="2"/>
    <col min="7" max="7" width="12.5546875" style="2" customWidth="1"/>
    <col min="8" max="8" width="11.21875" style="2" bestFit="1" customWidth="1"/>
    <col min="9" max="9" width="9.21875" style="2" bestFit="1" customWidth="1"/>
    <col min="10" max="11" width="8.77734375" style="2"/>
    <col min="12" max="12" width="9.5546875" style="2" bestFit="1" customWidth="1"/>
    <col min="13" max="16384" width="8.77734375" style="2"/>
  </cols>
  <sheetData>
    <row r="1" spans="2:12" ht="16.2" thickBot="1" x14ac:dyDescent="0.35"/>
    <row r="2" spans="2:12" ht="18" thickBot="1" x14ac:dyDescent="0.35">
      <c r="B2" s="789" t="s">
        <v>404</v>
      </c>
      <c r="C2" s="790"/>
      <c r="D2" s="791"/>
      <c r="G2" s="753" t="s">
        <v>405</v>
      </c>
      <c r="H2" s="754"/>
      <c r="I2" s="755"/>
    </row>
    <row r="3" spans="2:12" x14ac:dyDescent="0.3">
      <c r="B3" s="334" t="s">
        <v>406</v>
      </c>
      <c r="C3" s="335" t="s">
        <v>407</v>
      </c>
      <c r="D3" s="336" t="s">
        <v>408</v>
      </c>
      <c r="G3" s="334" t="s">
        <v>406</v>
      </c>
      <c r="H3" s="335" t="s">
        <v>409</v>
      </c>
      <c r="I3" s="336" t="s">
        <v>410</v>
      </c>
    </row>
    <row r="4" spans="2:12" ht="16.2" thickBot="1" x14ac:dyDescent="0.35">
      <c r="B4" s="337">
        <v>44287</v>
      </c>
      <c r="C4" s="425">
        <v>210.912994</v>
      </c>
      <c r="D4" s="338"/>
      <c r="G4" s="337">
        <v>44287</v>
      </c>
      <c r="H4" s="425">
        <v>14867.349609000001</v>
      </c>
      <c r="I4" s="339"/>
    </row>
    <row r="5" spans="2:12" x14ac:dyDescent="0.3">
      <c r="B5" s="337">
        <v>44291</v>
      </c>
      <c r="C5" s="425">
        <v>208.61731</v>
      </c>
      <c r="D5" s="338">
        <f>C5/C4-1</f>
        <v>-1.088450719162426E-2</v>
      </c>
      <c r="G5" s="337">
        <v>44291</v>
      </c>
      <c r="H5" s="425">
        <v>14637.799805000001</v>
      </c>
      <c r="I5" s="339">
        <f>H5/H4-1</f>
        <v>-1.5439860502173275E-2</v>
      </c>
      <c r="K5" s="340" t="s">
        <v>411</v>
      </c>
      <c r="L5" s="341">
        <f>SLOPE(D4:D250,I4:I250)</f>
        <v>0.98199970188319796</v>
      </c>
    </row>
    <row r="6" spans="2:12" x14ac:dyDescent="0.3">
      <c r="B6" s="337">
        <v>44292</v>
      </c>
      <c r="C6" s="425">
        <v>212.79125999999999</v>
      </c>
      <c r="D6" s="338">
        <f t="shared" ref="D6:D68" si="0">C6/C5-1</f>
        <v>2.0007687760905224E-2</v>
      </c>
      <c r="G6" s="337">
        <v>44292</v>
      </c>
      <c r="H6" s="425">
        <v>14683.5</v>
      </c>
      <c r="I6" s="339">
        <f t="shared" ref="I6:I69" si="1">H6/H5-1</f>
        <v>3.1220672238179148E-3</v>
      </c>
      <c r="K6" s="342" t="s">
        <v>410</v>
      </c>
      <c r="L6" s="343">
        <f>D250/D5-1</f>
        <v>1.6678482846836906</v>
      </c>
    </row>
    <row r="7" spans="2:12" ht="16.2" thickBot="1" x14ac:dyDescent="0.35">
      <c r="B7" s="337">
        <v>44293</v>
      </c>
      <c r="C7" s="425">
        <v>212.75152600000001</v>
      </c>
      <c r="D7" s="338">
        <f t="shared" si="0"/>
        <v>-1.8672759398097316E-4</v>
      </c>
      <c r="G7" s="337">
        <v>44293</v>
      </c>
      <c r="H7" s="425">
        <v>14819.049805000001</v>
      </c>
      <c r="I7" s="339">
        <f t="shared" si="1"/>
        <v>9.231436987094499E-3</v>
      </c>
      <c r="K7" s="344" t="s">
        <v>431</v>
      </c>
      <c r="L7" s="345">
        <v>0.06</v>
      </c>
    </row>
    <row r="8" spans="2:12" x14ac:dyDescent="0.3">
      <c r="B8" s="337">
        <v>44294</v>
      </c>
      <c r="C8" s="425">
        <v>213.90432699999999</v>
      </c>
      <c r="D8" s="338">
        <f t="shared" si="0"/>
        <v>5.4185322271200764E-3</v>
      </c>
      <c r="G8" s="337">
        <v>44294</v>
      </c>
      <c r="H8" s="425">
        <v>14873.799805000001</v>
      </c>
      <c r="I8" s="339">
        <f t="shared" si="1"/>
        <v>3.6945688637557428E-3</v>
      </c>
    </row>
    <row r="9" spans="2:12" x14ac:dyDescent="0.3">
      <c r="B9" s="337">
        <v>44295</v>
      </c>
      <c r="C9" s="425">
        <v>218.25714099999999</v>
      </c>
      <c r="D9" s="338">
        <f t="shared" si="0"/>
        <v>2.0349349922220039E-2</v>
      </c>
      <c r="G9" s="337">
        <v>44295</v>
      </c>
      <c r="H9" s="425">
        <v>14834.849609000001</v>
      </c>
      <c r="I9" s="339">
        <f t="shared" si="1"/>
        <v>-2.6187118631855189E-3</v>
      </c>
      <c r="L9" s="2">
        <f>STDEV(D5:D250)*SQRT(247)</f>
        <v>0.47758656682216605</v>
      </c>
    </row>
    <row r="10" spans="2:12" x14ac:dyDescent="0.3">
      <c r="B10" s="337">
        <v>44298</v>
      </c>
      <c r="C10" s="425">
        <v>214.053391</v>
      </c>
      <c r="D10" s="338">
        <f t="shared" si="0"/>
        <v>-1.9260538192425014E-2</v>
      </c>
      <c r="G10" s="337">
        <v>44298</v>
      </c>
      <c r="H10" s="425">
        <v>14310.799805000001</v>
      </c>
      <c r="I10" s="339">
        <f t="shared" si="1"/>
        <v>-3.5325589258557111E-2</v>
      </c>
    </row>
    <row r="11" spans="2:12" x14ac:dyDescent="0.3">
      <c r="B11" s="337">
        <v>44299</v>
      </c>
      <c r="C11" s="425">
        <v>244.53308100000001</v>
      </c>
      <c r="D11" s="338">
        <f t="shared" si="0"/>
        <v>0.14239293223810701</v>
      </c>
      <c r="G11" s="337">
        <v>44299</v>
      </c>
      <c r="H11" s="425">
        <v>14504.799805000001</v>
      </c>
      <c r="I11" s="339">
        <f t="shared" si="1"/>
        <v>1.3556195505733948E-2</v>
      </c>
    </row>
    <row r="12" spans="2:12" x14ac:dyDescent="0.3">
      <c r="B12" s="337">
        <v>44301</v>
      </c>
      <c r="C12" s="425">
        <v>244.19517500000001</v>
      </c>
      <c r="D12" s="338">
        <f t="shared" si="0"/>
        <v>-1.3818416658317734E-3</v>
      </c>
      <c r="G12" s="337">
        <v>44301</v>
      </c>
      <c r="H12" s="425">
        <v>14581.450194999999</v>
      </c>
      <c r="I12" s="339">
        <f t="shared" si="1"/>
        <v>5.2844845175716859E-3</v>
      </c>
    </row>
    <row r="13" spans="2:12" x14ac:dyDescent="0.3">
      <c r="B13" s="337">
        <v>44302</v>
      </c>
      <c r="C13" s="425">
        <v>236.01625100000001</v>
      </c>
      <c r="D13" s="338">
        <f t="shared" si="0"/>
        <v>-3.349338904832988E-2</v>
      </c>
      <c r="G13" s="337">
        <v>44302</v>
      </c>
      <c r="H13" s="425">
        <v>14617.849609000001</v>
      </c>
      <c r="I13" s="339">
        <f t="shared" si="1"/>
        <v>2.4962821607745767E-3</v>
      </c>
    </row>
    <row r="14" spans="2:12" x14ac:dyDescent="0.3">
      <c r="B14" s="337">
        <v>44305</v>
      </c>
      <c r="C14" s="425">
        <v>246.03370699999999</v>
      </c>
      <c r="D14" s="338">
        <f t="shared" si="0"/>
        <v>4.2443924761774054E-2</v>
      </c>
      <c r="G14" s="337">
        <v>44305</v>
      </c>
      <c r="H14" s="425">
        <v>14359.450194999999</v>
      </c>
      <c r="I14" s="339">
        <f t="shared" si="1"/>
        <v>-1.7676978550997591E-2</v>
      </c>
    </row>
    <row r="15" spans="2:12" x14ac:dyDescent="0.3">
      <c r="B15" s="337">
        <v>44306</v>
      </c>
      <c r="C15" s="425">
        <v>242.56535299999999</v>
      </c>
      <c r="D15" s="338">
        <f t="shared" si="0"/>
        <v>-1.4097068415101388E-2</v>
      </c>
      <c r="G15" s="337">
        <v>44306</v>
      </c>
      <c r="H15" s="425">
        <v>14296.400390999999</v>
      </c>
      <c r="I15" s="339">
        <f t="shared" si="1"/>
        <v>-4.3908229872167137E-3</v>
      </c>
    </row>
    <row r="16" spans="2:12" x14ac:dyDescent="0.3">
      <c r="B16" s="337">
        <v>44308</v>
      </c>
      <c r="C16" s="425">
        <v>235.74792500000001</v>
      </c>
      <c r="D16" s="338">
        <f t="shared" si="0"/>
        <v>-2.8105530801012524E-2</v>
      </c>
      <c r="G16" s="337">
        <v>44308</v>
      </c>
      <c r="H16" s="425">
        <v>14406.150390999999</v>
      </c>
      <c r="I16" s="339">
        <f t="shared" si="1"/>
        <v>7.6767575752207939E-3</v>
      </c>
    </row>
    <row r="17" spans="2:9" x14ac:dyDescent="0.3">
      <c r="B17" s="337">
        <v>44309</v>
      </c>
      <c r="C17" s="425">
        <v>242.078384</v>
      </c>
      <c r="D17" s="338">
        <f t="shared" si="0"/>
        <v>2.6852660527128647E-2</v>
      </c>
      <c r="G17" s="337">
        <v>44309</v>
      </c>
      <c r="H17" s="425">
        <v>14341.349609000001</v>
      </c>
      <c r="I17" s="339">
        <f t="shared" si="1"/>
        <v>-4.4981331057381002E-3</v>
      </c>
    </row>
    <row r="18" spans="2:9" x14ac:dyDescent="0.3">
      <c r="B18" s="337">
        <v>44312</v>
      </c>
      <c r="C18" s="425">
        <v>251.767899</v>
      </c>
      <c r="D18" s="338">
        <f t="shared" si="0"/>
        <v>4.0026353612803378E-2</v>
      </c>
      <c r="G18" s="337">
        <v>44312</v>
      </c>
      <c r="H18" s="425">
        <v>14485</v>
      </c>
      <c r="I18" s="339">
        <f t="shared" si="1"/>
        <v>1.0016518313579859E-2</v>
      </c>
    </row>
    <row r="19" spans="2:9" x14ac:dyDescent="0.3">
      <c r="B19" s="337">
        <v>44313</v>
      </c>
      <c r="C19" s="425">
        <v>259.559235</v>
      </c>
      <c r="D19" s="338">
        <f t="shared" si="0"/>
        <v>3.0946502834342748E-2</v>
      </c>
      <c r="G19" s="337">
        <v>44313</v>
      </c>
      <c r="H19" s="425">
        <v>14653.049805000001</v>
      </c>
      <c r="I19" s="339">
        <f t="shared" si="1"/>
        <v>1.1601643424232089E-2</v>
      </c>
    </row>
    <row r="20" spans="2:9" x14ac:dyDescent="0.3">
      <c r="B20" s="337">
        <v>44314</v>
      </c>
      <c r="C20" s="425">
        <v>267.56921399999999</v>
      </c>
      <c r="D20" s="338">
        <f t="shared" si="0"/>
        <v>3.085992682941896E-2</v>
      </c>
      <c r="G20" s="337">
        <v>44314</v>
      </c>
      <c r="H20" s="425">
        <v>14864.549805000001</v>
      </c>
      <c r="I20" s="339">
        <f t="shared" si="1"/>
        <v>1.4433855259799344E-2</v>
      </c>
    </row>
    <row r="21" spans="2:9" x14ac:dyDescent="0.3">
      <c r="B21" s="337">
        <v>44315</v>
      </c>
      <c r="C21" s="425">
        <v>270.68975799999998</v>
      </c>
      <c r="D21" s="338">
        <f t="shared" si="0"/>
        <v>1.1662567428254222E-2</v>
      </c>
      <c r="G21" s="337">
        <v>44315</v>
      </c>
      <c r="H21" s="425">
        <v>14894.900390999999</v>
      </c>
      <c r="I21" s="339">
        <f t="shared" si="1"/>
        <v>2.0418099705776793E-3</v>
      </c>
    </row>
    <row r="22" spans="2:9" x14ac:dyDescent="0.3">
      <c r="B22" s="337">
        <v>44316</v>
      </c>
      <c r="C22" s="425">
        <v>273.78042599999998</v>
      </c>
      <c r="D22" s="338">
        <f t="shared" si="0"/>
        <v>1.1417750057613807E-2</v>
      </c>
      <c r="G22" s="337">
        <v>44316</v>
      </c>
      <c r="H22" s="425">
        <v>14631.099609000001</v>
      </c>
      <c r="I22" s="339">
        <f t="shared" si="1"/>
        <v>-1.7710812095084294E-2</v>
      </c>
    </row>
    <row r="23" spans="2:9" x14ac:dyDescent="0.3">
      <c r="B23" s="337">
        <v>44319</v>
      </c>
      <c r="C23" s="425">
        <v>289.025238</v>
      </c>
      <c r="D23" s="338">
        <f t="shared" si="0"/>
        <v>5.5682622102428914E-2</v>
      </c>
      <c r="G23" s="337">
        <v>44319</v>
      </c>
      <c r="H23" s="425">
        <v>14634.150390999999</v>
      </c>
      <c r="I23" s="339">
        <f t="shared" si="1"/>
        <v>2.0851351446760091E-4</v>
      </c>
    </row>
    <row r="24" spans="2:9" x14ac:dyDescent="0.3">
      <c r="B24" s="337">
        <v>44320</v>
      </c>
      <c r="C24" s="425">
        <v>291.17184400000002</v>
      </c>
      <c r="D24" s="338">
        <f t="shared" si="0"/>
        <v>7.4270538270433395E-3</v>
      </c>
      <c r="G24" s="337">
        <v>44320</v>
      </c>
      <c r="H24" s="425">
        <v>14496.5</v>
      </c>
      <c r="I24" s="339">
        <f t="shared" si="1"/>
        <v>-9.4061074488241969E-3</v>
      </c>
    </row>
    <row r="25" spans="2:9" x14ac:dyDescent="0.3">
      <c r="B25" s="337">
        <v>44321</v>
      </c>
      <c r="C25" s="425">
        <v>290.06872600000003</v>
      </c>
      <c r="D25" s="338">
        <f t="shared" si="0"/>
        <v>-3.7885462579273499E-3</v>
      </c>
      <c r="G25" s="337">
        <v>44321</v>
      </c>
      <c r="H25" s="425">
        <v>14617.849609000001</v>
      </c>
      <c r="I25" s="339">
        <f t="shared" si="1"/>
        <v>8.3709591280654028E-3</v>
      </c>
    </row>
    <row r="26" spans="2:9" x14ac:dyDescent="0.3">
      <c r="B26" s="337">
        <v>44322</v>
      </c>
      <c r="C26" s="425">
        <v>288.39913899999999</v>
      </c>
      <c r="D26" s="338">
        <f t="shared" si="0"/>
        <v>-5.7558324988128406E-3</v>
      </c>
      <c r="G26" s="337">
        <v>44322</v>
      </c>
      <c r="H26" s="425">
        <v>14724.799805000001</v>
      </c>
      <c r="I26" s="339">
        <f t="shared" si="1"/>
        <v>7.3164110221897172E-3</v>
      </c>
    </row>
    <row r="27" spans="2:9" x14ac:dyDescent="0.3">
      <c r="B27" s="337">
        <v>44323</v>
      </c>
      <c r="C27" s="425">
        <v>285.04013099999997</v>
      </c>
      <c r="D27" s="338">
        <f t="shared" si="0"/>
        <v>-1.1647080541388188E-2</v>
      </c>
      <c r="G27" s="337">
        <v>44323</v>
      </c>
      <c r="H27" s="425">
        <v>14823.150390999999</v>
      </c>
      <c r="I27" s="339">
        <f t="shared" si="1"/>
        <v>6.6792477522581439E-3</v>
      </c>
    </row>
    <row r="28" spans="2:9" x14ac:dyDescent="0.3">
      <c r="B28" s="337">
        <v>44326</v>
      </c>
      <c r="C28" s="425">
        <v>293.04019199999999</v>
      </c>
      <c r="D28" s="338">
        <f t="shared" si="0"/>
        <v>2.8066437423858837E-2</v>
      </c>
      <c r="G28" s="337">
        <v>44326</v>
      </c>
      <c r="H28" s="425">
        <v>14942.349609000001</v>
      </c>
      <c r="I28" s="339">
        <f t="shared" si="1"/>
        <v>8.0414226973217762E-3</v>
      </c>
    </row>
    <row r="29" spans="2:9" x14ac:dyDescent="0.3">
      <c r="B29" s="337">
        <v>44327</v>
      </c>
      <c r="C29" s="425">
        <v>299.14209</v>
      </c>
      <c r="D29" s="338">
        <f t="shared" si="0"/>
        <v>2.082273410467872E-2</v>
      </c>
      <c r="G29" s="337">
        <v>44327</v>
      </c>
      <c r="H29" s="425">
        <v>14850.75</v>
      </c>
      <c r="I29" s="339">
        <f t="shared" si="1"/>
        <v>-6.1302011662763833E-3</v>
      </c>
    </row>
    <row r="30" spans="2:9" x14ac:dyDescent="0.3">
      <c r="B30" s="337">
        <v>44328</v>
      </c>
      <c r="C30" s="425">
        <v>294.08367900000002</v>
      </c>
      <c r="D30" s="338">
        <f t="shared" si="0"/>
        <v>-1.6909726745574227E-2</v>
      </c>
      <c r="G30" s="337">
        <v>44328</v>
      </c>
      <c r="H30" s="425">
        <v>14696.5</v>
      </c>
      <c r="I30" s="339">
        <f t="shared" si="1"/>
        <v>-1.0386680807366599E-2</v>
      </c>
    </row>
    <row r="31" spans="2:9" x14ac:dyDescent="0.3">
      <c r="B31" s="337">
        <v>44330</v>
      </c>
      <c r="C31" s="425">
        <v>290.55566399999998</v>
      </c>
      <c r="D31" s="338">
        <f t="shared" si="0"/>
        <v>-1.1996636508345815E-2</v>
      </c>
      <c r="G31" s="337">
        <v>44330</v>
      </c>
      <c r="H31" s="425">
        <v>14677.799805000001</v>
      </c>
      <c r="I31" s="339">
        <f t="shared" si="1"/>
        <v>-1.2724250671928283E-3</v>
      </c>
    </row>
    <row r="32" spans="2:9" x14ac:dyDescent="0.3">
      <c r="B32" s="337">
        <v>44333</v>
      </c>
      <c r="C32" s="425">
        <v>297.41287199999999</v>
      </c>
      <c r="D32" s="338">
        <f t="shared" si="0"/>
        <v>2.36003246524219E-2</v>
      </c>
      <c r="G32" s="337">
        <v>44333</v>
      </c>
      <c r="H32" s="425">
        <v>14923.150390999999</v>
      </c>
      <c r="I32" s="339">
        <f t="shared" si="1"/>
        <v>1.6715760485874753E-2</v>
      </c>
    </row>
    <row r="33" spans="2:9" x14ac:dyDescent="0.3">
      <c r="B33" s="337">
        <v>44334</v>
      </c>
      <c r="C33" s="425">
        <v>299.23150600000002</v>
      </c>
      <c r="D33" s="338">
        <f t="shared" si="0"/>
        <v>6.1148463002638209E-3</v>
      </c>
      <c r="G33" s="337">
        <v>44334</v>
      </c>
      <c r="H33" s="425">
        <v>15108.099609000001</v>
      </c>
      <c r="I33" s="339">
        <f t="shared" si="1"/>
        <v>1.2393443284706374E-2</v>
      </c>
    </row>
    <row r="34" spans="2:9" x14ac:dyDescent="0.3">
      <c r="B34" s="337">
        <v>44335</v>
      </c>
      <c r="C34" s="425">
        <v>294.71966600000002</v>
      </c>
      <c r="D34" s="338">
        <f t="shared" si="0"/>
        <v>-1.5078091409264971E-2</v>
      </c>
      <c r="G34" s="337">
        <v>44335</v>
      </c>
      <c r="H34" s="425">
        <v>15030.150390999999</v>
      </c>
      <c r="I34" s="339">
        <f t="shared" si="1"/>
        <v>-5.1594323586248159E-3</v>
      </c>
    </row>
    <row r="35" spans="2:9" x14ac:dyDescent="0.3">
      <c r="B35" s="337">
        <v>44336</v>
      </c>
      <c r="C35" s="425">
        <v>288.91589399999998</v>
      </c>
      <c r="D35" s="338">
        <f t="shared" si="0"/>
        <v>-1.9692516888235145E-2</v>
      </c>
      <c r="G35" s="337">
        <v>44336</v>
      </c>
      <c r="H35" s="425">
        <v>14906.049805000001</v>
      </c>
      <c r="I35" s="339">
        <f t="shared" si="1"/>
        <v>-8.2567760648828425E-3</v>
      </c>
    </row>
    <row r="36" spans="2:9" x14ac:dyDescent="0.3">
      <c r="B36" s="337">
        <v>44337</v>
      </c>
      <c r="C36" s="425">
        <v>288.37930299999999</v>
      </c>
      <c r="D36" s="338">
        <f t="shared" si="0"/>
        <v>-1.8572567696811815E-3</v>
      </c>
      <c r="G36" s="337">
        <v>44337</v>
      </c>
      <c r="H36" s="425">
        <v>15175.299805000001</v>
      </c>
      <c r="I36" s="339">
        <f t="shared" si="1"/>
        <v>1.8063135674595943E-2</v>
      </c>
    </row>
    <row r="37" spans="2:9" x14ac:dyDescent="0.3">
      <c r="B37" s="337">
        <v>44340</v>
      </c>
      <c r="C37" s="425">
        <v>294.799194</v>
      </c>
      <c r="D37" s="338">
        <f t="shared" si="0"/>
        <v>2.2261968640655105E-2</v>
      </c>
      <c r="G37" s="337">
        <v>44340</v>
      </c>
      <c r="H37" s="425">
        <v>15197.700194999999</v>
      </c>
      <c r="I37" s="339">
        <f t="shared" si="1"/>
        <v>1.4761085637740035E-3</v>
      </c>
    </row>
    <row r="38" spans="2:9" x14ac:dyDescent="0.3">
      <c r="B38" s="337">
        <v>44341</v>
      </c>
      <c r="C38" s="425">
        <v>290.94329800000003</v>
      </c>
      <c r="D38" s="338">
        <f t="shared" si="0"/>
        <v>-1.3079737253284263E-2</v>
      </c>
      <c r="G38" s="337">
        <v>44341</v>
      </c>
      <c r="H38" s="425">
        <v>15208.450194999999</v>
      </c>
      <c r="I38" s="339">
        <f t="shared" si="1"/>
        <v>7.0734386532622651E-4</v>
      </c>
    </row>
    <row r="39" spans="2:9" x14ac:dyDescent="0.3">
      <c r="B39" s="337">
        <v>44342</v>
      </c>
      <c r="C39" s="425">
        <v>308.096161</v>
      </c>
      <c r="D39" s="338">
        <f t="shared" si="0"/>
        <v>5.8956034106686817E-2</v>
      </c>
      <c r="G39" s="337">
        <v>44342</v>
      </c>
      <c r="H39" s="425">
        <v>15301.450194999999</v>
      </c>
      <c r="I39" s="339">
        <f t="shared" si="1"/>
        <v>6.1150215049903256E-3</v>
      </c>
    </row>
    <row r="40" spans="2:9" x14ac:dyDescent="0.3">
      <c r="B40" s="337">
        <v>44343</v>
      </c>
      <c r="C40" s="425">
        <v>318.99807700000002</v>
      </c>
      <c r="D40" s="338">
        <f t="shared" si="0"/>
        <v>3.538478364876485E-2</v>
      </c>
      <c r="G40" s="337">
        <v>44343</v>
      </c>
      <c r="H40" s="425">
        <v>15337.849609000001</v>
      </c>
      <c r="I40" s="339">
        <f t="shared" si="1"/>
        <v>2.3788211925099834E-3</v>
      </c>
    </row>
    <row r="41" spans="2:9" x14ac:dyDescent="0.3">
      <c r="B41" s="337">
        <v>44344</v>
      </c>
      <c r="C41" s="425">
        <v>316.930969</v>
      </c>
      <c r="D41" s="338">
        <f t="shared" si="0"/>
        <v>-6.4800014452752741E-3</v>
      </c>
      <c r="G41" s="337">
        <v>44344</v>
      </c>
      <c r="H41" s="425">
        <v>15435.650390999999</v>
      </c>
      <c r="I41" s="339">
        <f t="shared" si="1"/>
        <v>6.3764337565686002E-3</v>
      </c>
    </row>
    <row r="42" spans="2:9" x14ac:dyDescent="0.3">
      <c r="B42" s="337">
        <v>44347</v>
      </c>
      <c r="C42" s="425">
        <v>315.73840300000001</v>
      </c>
      <c r="D42" s="338">
        <f t="shared" si="0"/>
        <v>-3.7628572675080241E-3</v>
      </c>
      <c r="G42" s="337">
        <v>44347</v>
      </c>
      <c r="H42" s="425">
        <v>15582.799805000001</v>
      </c>
      <c r="I42" s="339">
        <f t="shared" si="1"/>
        <v>9.53308803144437E-3</v>
      </c>
    </row>
    <row r="43" spans="2:9" x14ac:dyDescent="0.3">
      <c r="B43" s="337">
        <v>44348</v>
      </c>
      <c r="C43" s="425">
        <v>304.80670199999997</v>
      </c>
      <c r="D43" s="338">
        <f t="shared" si="0"/>
        <v>-3.4622652474745164E-2</v>
      </c>
      <c r="G43" s="337">
        <v>44348</v>
      </c>
      <c r="H43" s="425">
        <v>15574.849609000001</v>
      </c>
      <c r="I43" s="339">
        <f t="shared" si="1"/>
        <v>-5.1019047279610152E-4</v>
      </c>
    </row>
    <row r="44" spans="2:9" x14ac:dyDescent="0.3">
      <c r="B44" s="337">
        <v>44349</v>
      </c>
      <c r="C44" s="425">
        <v>308.19552599999997</v>
      </c>
      <c r="D44" s="338">
        <f t="shared" si="0"/>
        <v>1.1117944512913036E-2</v>
      </c>
      <c r="G44" s="337">
        <v>44349</v>
      </c>
      <c r="H44" s="425">
        <v>15576.200194999999</v>
      </c>
      <c r="I44" s="339">
        <f t="shared" si="1"/>
        <v>8.671582929564714E-5</v>
      </c>
    </row>
    <row r="45" spans="2:9" x14ac:dyDescent="0.3">
      <c r="B45" s="337">
        <v>44350</v>
      </c>
      <c r="C45" s="425">
        <v>307.41039999999998</v>
      </c>
      <c r="D45" s="338">
        <f t="shared" si="0"/>
        <v>-2.5474931780806731E-3</v>
      </c>
      <c r="G45" s="337">
        <v>44350</v>
      </c>
      <c r="H45" s="425">
        <v>15690.349609000001</v>
      </c>
      <c r="I45" s="339">
        <f t="shared" si="1"/>
        <v>7.3284506215220979E-3</v>
      </c>
    </row>
    <row r="46" spans="2:9" x14ac:dyDescent="0.3">
      <c r="B46" s="337">
        <v>44351</v>
      </c>
      <c r="C46" s="425">
        <v>305.32345600000002</v>
      </c>
      <c r="D46" s="338">
        <f t="shared" si="0"/>
        <v>-6.7887878874623997E-3</v>
      </c>
      <c r="G46" s="337">
        <v>44351</v>
      </c>
      <c r="H46" s="425">
        <v>15670.25</v>
      </c>
      <c r="I46" s="339">
        <f t="shared" si="1"/>
        <v>-1.281017281378638E-3</v>
      </c>
    </row>
    <row r="47" spans="2:9" x14ac:dyDescent="0.3">
      <c r="B47" s="337">
        <v>44354</v>
      </c>
      <c r="C47" s="425">
        <v>309.60674999999998</v>
      </c>
      <c r="D47" s="338">
        <f t="shared" si="0"/>
        <v>1.4028709278071094E-2</v>
      </c>
      <c r="G47" s="337">
        <v>44354</v>
      </c>
      <c r="H47" s="425">
        <v>15751.650390999999</v>
      </c>
      <c r="I47" s="339">
        <f t="shared" si="1"/>
        <v>5.1945815159297748E-3</v>
      </c>
    </row>
    <row r="48" spans="2:9" x14ac:dyDescent="0.3">
      <c r="B48" s="337">
        <v>44355</v>
      </c>
      <c r="C48" s="425">
        <v>321.641571</v>
      </c>
      <c r="D48" s="338">
        <f t="shared" si="0"/>
        <v>3.8871313367683458E-2</v>
      </c>
      <c r="G48" s="337">
        <v>44355</v>
      </c>
      <c r="H48" s="425">
        <v>15740.099609000001</v>
      </c>
      <c r="I48" s="339">
        <f t="shared" si="1"/>
        <v>-7.3330614337396849E-4</v>
      </c>
    </row>
    <row r="49" spans="2:9" x14ac:dyDescent="0.3">
      <c r="B49" s="337">
        <v>44356</v>
      </c>
      <c r="C49" s="425">
        <v>315.41049199999998</v>
      </c>
      <c r="D49" s="338">
        <f t="shared" si="0"/>
        <v>-1.9372741466929466E-2</v>
      </c>
      <c r="G49" s="337">
        <v>44356</v>
      </c>
      <c r="H49" s="425">
        <v>15635.349609000001</v>
      </c>
      <c r="I49" s="339">
        <f t="shared" si="1"/>
        <v>-6.654976944371116E-3</v>
      </c>
    </row>
    <row r="50" spans="2:9" x14ac:dyDescent="0.3">
      <c r="B50" s="337">
        <v>44357</v>
      </c>
      <c r="C50" s="425">
        <v>313.19433600000002</v>
      </c>
      <c r="D50" s="338">
        <f t="shared" si="0"/>
        <v>-7.0262596083834339E-3</v>
      </c>
      <c r="G50" s="337">
        <v>44357</v>
      </c>
      <c r="H50" s="425">
        <v>15737.75</v>
      </c>
      <c r="I50" s="339">
        <f t="shared" si="1"/>
        <v>6.549286940220167E-3</v>
      </c>
    </row>
    <row r="51" spans="2:9" x14ac:dyDescent="0.3">
      <c r="B51" s="337">
        <v>44358</v>
      </c>
      <c r="C51" s="425">
        <v>310.05392499999999</v>
      </c>
      <c r="D51" s="338">
        <f t="shared" si="0"/>
        <v>-1.0027036376545562E-2</v>
      </c>
      <c r="G51" s="337">
        <v>44358</v>
      </c>
      <c r="H51" s="425">
        <v>15799.349609000001</v>
      </c>
      <c r="I51" s="339">
        <f t="shared" si="1"/>
        <v>3.9141306095218376E-3</v>
      </c>
    </row>
    <row r="52" spans="2:9" x14ac:dyDescent="0.3">
      <c r="B52" s="337">
        <v>44361</v>
      </c>
      <c r="C52" s="425">
        <v>306.535889</v>
      </c>
      <c r="D52" s="338">
        <f t="shared" si="0"/>
        <v>-1.1346529478702738E-2</v>
      </c>
      <c r="G52" s="337">
        <v>44361</v>
      </c>
      <c r="H52" s="425">
        <v>15811.849609000001</v>
      </c>
      <c r="I52" s="339">
        <f t="shared" si="1"/>
        <v>7.9117180829268996E-4</v>
      </c>
    </row>
    <row r="53" spans="2:9" x14ac:dyDescent="0.3">
      <c r="B53" s="337">
        <v>44362</v>
      </c>
      <c r="C53" s="425">
        <v>304.00170900000001</v>
      </c>
      <c r="D53" s="338">
        <f t="shared" si="0"/>
        <v>-8.2671559544533757E-3</v>
      </c>
      <c r="G53" s="337">
        <v>44362</v>
      </c>
      <c r="H53" s="425">
        <v>15869.25</v>
      </c>
      <c r="I53" s="339">
        <f t="shared" si="1"/>
        <v>3.6302135689001425E-3</v>
      </c>
    </row>
    <row r="54" spans="2:9" x14ac:dyDescent="0.3">
      <c r="B54" s="337">
        <v>44363</v>
      </c>
      <c r="C54" s="425">
        <v>300.97067299999998</v>
      </c>
      <c r="D54" s="338">
        <f t="shared" si="0"/>
        <v>-9.9704571068711667E-3</v>
      </c>
      <c r="G54" s="337">
        <v>44363</v>
      </c>
      <c r="H54" s="425">
        <v>15767.549805000001</v>
      </c>
      <c r="I54" s="339">
        <f t="shared" si="1"/>
        <v>-6.408632733115871E-3</v>
      </c>
    </row>
    <row r="55" spans="2:9" x14ac:dyDescent="0.3">
      <c r="B55" s="337">
        <v>44364</v>
      </c>
      <c r="C55" s="425">
        <v>306.73464999999999</v>
      </c>
      <c r="D55" s="338">
        <f t="shared" si="0"/>
        <v>1.9151291195737219E-2</v>
      </c>
      <c r="G55" s="337">
        <v>44364</v>
      </c>
      <c r="H55" s="425">
        <v>15691.400390999999</v>
      </c>
      <c r="I55" s="339">
        <f t="shared" si="1"/>
        <v>-4.829502043231515E-3</v>
      </c>
    </row>
    <row r="56" spans="2:9" x14ac:dyDescent="0.3">
      <c r="B56" s="337">
        <v>44365</v>
      </c>
      <c r="C56" s="425">
        <v>305.00546300000002</v>
      </c>
      <c r="D56" s="338">
        <f t="shared" si="0"/>
        <v>-5.6374035342924289E-3</v>
      </c>
      <c r="G56" s="337">
        <v>44365</v>
      </c>
      <c r="H56" s="425">
        <v>15683.349609000001</v>
      </c>
      <c r="I56" s="339">
        <f t="shared" si="1"/>
        <v>-5.1306969418840609E-4</v>
      </c>
    </row>
    <row r="57" spans="2:9" x14ac:dyDescent="0.3">
      <c r="B57" s="337">
        <v>44368</v>
      </c>
      <c r="C57" s="425">
        <v>308.394318</v>
      </c>
      <c r="D57" s="338">
        <f t="shared" si="0"/>
        <v>1.1110800989161174E-2</v>
      </c>
      <c r="G57" s="337">
        <v>44368</v>
      </c>
      <c r="H57" s="425">
        <v>15746.5</v>
      </c>
      <c r="I57" s="339">
        <f t="shared" si="1"/>
        <v>4.0265882336614212E-3</v>
      </c>
    </row>
    <row r="58" spans="2:9" x14ac:dyDescent="0.3">
      <c r="B58" s="337">
        <v>44369</v>
      </c>
      <c r="C58" s="425">
        <v>311.59433000000001</v>
      </c>
      <c r="D58" s="338">
        <f t="shared" si="0"/>
        <v>1.0376364975699826E-2</v>
      </c>
      <c r="G58" s="337">
        <v>44369</v>
      </c>
      <c r="H58" s="425">
        <v>15772.75</v>
      </c>
      <c r="I58" s="339">
        <f t="shared" si="1"/>
        <v>1.6670371193598932E-3</v>
      </c>
    </row>
    <row r="59" spans="2:9" x14ac:dyDescent="0.3">
      <c r="B59" s="337">
        <v>44370</v>
      </c>
      <c r="C59" s="425">
        <v>307.29116800000003</v>
      </c>
      <c r="D59" s="338">
        <f t="shared" si="0"/>
        <v>-1.3810142180700091E-2</v>
      </c>
      <c r="G59" s="337">
        <v>44370</v>
      </c>
      <c r="H59" s="425">
        <v>15686.950194999999</v>
      </c>
      <c r="I59" s="339">
        <f t="shared" si="1"/>
        <v>-5.4397492510818157E-3</v>
      </c>
    </row>
    <row r="60" spans="2:9" x14ac:dyDescent="0.3">
      <c r="B60" s="337">
        <v>44371</v>
      </c>
      <c r="C60" s="425">
        <v>303.097351</v>
      </c>
      <c r="D60" s="338">
        <f t="shared" si="0"/>
        <v>-1.3647697808223502E-2</v>
      </c>
      <c r="G60" s="337">
        <v>44371</v>
      </c>
      <c r="H60" s="425">
        <v>15790.450194999999</v>
      </c>
      <c r="I60" s="339">
        <f t="shared" si="1"/>
        <v>6.597840798461263E-3</v>
      </c>
    </row>
    <row r="61" spans="2:9" x14ac:dyDescent="0.3">
      <c r="B61" s="337">
        <v>44372</v>
      </c>
      <c r="C61" s="425">
        <v>301.64642300000003</v>
      </c>
      <c r="D61" s="338">
        <f t="shared" si="0"/>
        <v>-4.7870032358018344E-3</v>
      </c>
      <c r="G61" s="337">
        <v>44372</v>
      </c>
      <c r="H61" s="425">
        <v>15860.349609000001</v>
      </c>
      <c r="I61" s="339">
        <f t="shared" si="1"/>
        <v>4.4266891150535059E-3</v>
      </c>
    </row>
    <row r="62" spans="2:9" x14ac:dyDescent="0.3">
      <c r="B62" s="337">
        <v>44375</v>
      </c>
      <c r="C62" s="425">
        <v>304.35949699999998</v>
      </c>
      <c r="D62" s="338">
        <f t="shared" si="0"/>
        <v>8.9942190363714314E-3</v>
      </c>
      <c r="G62" s="337">
        <v>44375</v>
      </c>
      <c r="H62" s="425">
        <v>15814.700194999999</v>
      </c>
      <c r="I62" s="339">
        <f t="shared" si="1"/>
        <v>-2.8782098204251927E-3</v>
      </c>
    </row>
    <row r="63" spans="2:9" x14ac:dyDescent="0.3">
      <c r="B63" s="337">
        <v>44376</v>
      </c>
      <c r="C63" s="425">
        <v>304.08123799999998</v>
      </c>
      <c r="D63" s="338">
        <f t="shared" si="0"/>
        <v>-9.1424451263300011E-4</v>
      </c>
      <c r="G63" s="337">
        <v>44376</v>
      </c>
      <c r="H63" s="425">
        <v>15748.450194999999</v>
      </c>
      <c r="I63" s="339">
        <f t="shared" si="1"/>
        <v>-4.1891404315679281E-3</v>
      </c>
    </row>
    <row r="64" spans="2:9" x14ac:dyDescent="0.3">
      <c r="B64" s="337">
        <v>44377</v>
      </c>
      <c r="C64" s="425">
        <v>302.56072999999998</v>
      </c>
      <c r="D64" s="338">
        <f t="shared" si="0"/>
        <v>-5.0003348118439206E-3</v>
      </c>
      <c r="G64" s="337">
        <v>44377</v>
      </c>
      <c r="H64" s="425">
        <v>15721.5</v>
      </c>
      <c r="I64" s="339">
        <f t="shared" si="1"/>
        <v>-1.7112918837280944E-3</v>
      </c>
    </row>
    <row r="65" spans="2:9" x14ac:dyDescent="0.3">
      <c r="B65" s="337">
        <v>44378</v>
      </c>
      <c r="C65" s="425">
        <v>305.43279999999999</v>
      </c>
      <c r="D65" s="338">
        <f t="shared" si="0"/>
        <v>9.4925405554118214E-3</v>
      </c>
      <c r="G65" s="337">
        <v>44378</v>
      </c>
      <c r="H65" s="425">
        <v>15680</v>
      </c>
      <c r="I65" s="339">
        <f t="shared" si="1"/>
        <v>-2.639697229908089E-3</v>
      </c>
    </row>
    <row r="66" spans="2:9" x14ac:dyDescent="0.3">
      <c r="B66" s="337">
        <v>44379</v>
      </c>
      <c r="C66" s="425">
        <v>305.22409099999999</v>
      </c>
      <c r="D66" s="338">
        <f t="shared" si="0"/>
        <v>-6.8332215793454054E-4</v>
      </c>
      <c r="G66" s="337">
        <v>44379</v>
      </c>
      <c r="H66" s="425">
        <v>15722.200194999999</v>
      </c>
      <c r="I66" s="339">
        <f t="shared" si="1"/>
        <v>2.6913389668365983E-3</v>
      </c>
    </row>
    <row r="67" spans="2:9" x14ac:dyDescent="0.3">
      <c r="B67" s="337">
        <v>44382</v>
      </c>
      <c r="C67" s="425">
        <v>325.67639200000002</v>
      </c>
      <c r="D67" s="338">
        <f t="shared" si="0"/>
        <v>6.7007492537671354E-2</v>
      </c>
      <c r="G67" s="337">
        <v>44382</v>
      </c>
      <c r="H67" s="425">
        <v>15834.349609000001</v>
      </c>
      <c r="I67" s="339">
        <f t="shared" si="1"/>
        <v>7.1331882693916882E-3</v>
      </c>
    </row>
    <row r="68" spans="2:9" x14ac:dyDescent="0.3">
      <c r="B68" s="337">
        <v>44383</v>
      </c>
      <c r="C68" s="425">
        <v>326.05398600000001</v>
      </c>
      <c r="D68" s="338">
        <f t="shared" si="0"/>
        <v>1.1594147112756747E-3</v>
      </c>
      <c r="G68" s="337">
        <v>44383</v>
      </c>
      <c r="H68" s="425">
        <v>15818.25</v>
      </c>
      <c r="I68" s="339">
        <f t="shared" si="1"/>
        <v>-1.0167521494441889E-3</v>
      </c>
    </row>
    <row r="69" spans="2:9" x14ac:dyDescent="0.3">
      <c r="B69" s="337">
        <v>44384</v>
      </c>
      <c r="C69" s="425">
        <v>337.93978900000002</v>
      </c>
      <c r="D69" s="338">
        <f t="shared" ref="D69:D132" si="2">C69/C68-1</f>
        <v>3.6453481663616394E-2</v>
      </c>
      <c r="G69" s="337">
        <v>44384</v>
      </c>
      <c r="H69" s="425">
        <v>15879.650390999999</v>
      </c>
      <c r="I69" s="339">
        <f t="shared" si="1"/>
        <v>3.881617182684538E-3</v>
      </c>
    </row>
    <row r="70" spans="2:9" x14ac:dyDescent="0.3">
      <c r="B70" s="337">
        <v>44385</v>
      </c>
      <c r="C70" s="425">
        <v>351.86285400000003</v>
      </c>
      <c r="D70" s="338">
        <f t="shared" si="2"/>
        <v>4.1199839300367191E-2</v>
      </c>
      <c r="G70" s="337">
        <v>44385</v>
      </c>
      <c r="H70" s="425">
        <v>15727.900390999999</v>
      </c>
      <c r="I70" s="339">
        <f t="shared" ref="I70:I133" si="3">H70/H69-1</f>
        <v>-9.5562557275193916E-3</v>
      </c>
    </row>
    <row r="71" spans="2:9" x14ac:dyDescent="0.3">
      <c r="B71" s="337">
        <v>44386</v>
      </c>
      <c r="C71" s="425">
        <v>355.49023399999999</v>
      </c>
      <c r="D71" s="338">
        <f t="shared" si="2"/>
        <v>1.0309073432343441E-2</v>
      </c>
      <c r="G71" s="337">
        <v>44386</v>
      </c>
      <c r="H71" s="425">
        <v>15689.799805000001</v>
      </c>
      <c r="I71" s="339">
        <f t="shared" si="3"/>
        <v>-2.4224839331892234E-3</v>
      </c>
    </row>
    <row r="72" spans="2:9" x14ac:dyDescent="0.3">
      <c r="B72" s="337">
        <v>44389</v>
      </c>
      <c r="C72" s="425">
        <v>356.22564699999998</v>
      </c>
      <c r="D72" s="338">
        <f t="shared" si="2"/>
        <v>2.0687291229497529E-3</v>
      </c>
      <c r="G72" s="337">
        <v>44389</v>
      </c>
      <c r="H72" s="425">
        <v>15692.599609000001</v>
      </c>
      <c r="I72" s="339">
        <f t="shared" si="3"/>
        <v>1.7844740116501612E-4</v>
      </c>
    </row>
    <row r="73" spans="2:9" x14ac:dyDescent="0.3">
      <c r="B73" s="337">
        <v>44390</v>
      </c>
      <c r="C73" s="425">
        <v>356.970978</v>
      </c>
      <c r="D73" s="338">
        <f t="shared" si="2"/>
        <v>2.0923002211572506E-3</v>
      </c>
      <c r="G73" s="337">
        <v>44390</v>
      </c>
      <c r="H73" s="425">
        <v>15812.349609000001</v>
      </c>
      <c r="I73" s="339">
        <f t="shared" si="3"/>
        <v>7.6309854953109379E-3</v>
      </c>
    </row>
    <row r="74" spans="2:9" x14ac:dyDescent="0.3">
      <c r="B74" s="337">
        <v>44391</v>
      </c>
      <c r="C74" s="425">
        <v>361.53247099999999</v>
      </c>
      <c r="D74" s="338">
        <f t="shared" si="2"/>
        <v>1.2778330119598724E-2</v>
      </c>
      <c r="G74" s="337">
        <v>44391</v>
      </c>
      <c r="H74" s="425">
        <v>15853.950194999999</v>
      </c>
      <c r="I74" s="339">
        <f t="shared" si="3"/>
        <v>2.6308921209483582E-3</v>
      </c>
    </row>
    <row r="75" spans="2:9" x14ac:dyDescent="0.3">
      <c r="B75" s="337">
        <v>44392</v>
      </c>
      <c r="C75" s="425">
        <v>363.97720299999997</v>
      </c>
      <c r="D75" s="338">
        <f t="shared" si="2"/>
        <v>6.7621367265791044E-3</v>
      </c>
      <c r="G75" s="337">
        <v>44392</v>
      </c>
      <c r="H75" s="425">
        <v>15924.200194999999</v>
      </c>
      <c r="I75" s="339">
        <f t="shared" si="3"/>
        <v>4.4310723280911457E-3</v>
      </c>
    </row>
    <row r="76" spans="2:9" x14ac:dyDescent="0.3">
      <c r="B76" s="337">
        <v>44393</v>
      </c>
      <c r="C76" s="425">
        <v>369.25427200000001</v>
      </c>
      <c r="D76" s="338">
        <f t="shared" si="2"/>
        <v>1.4498350326627607E-2</v>
      </c>
      <c r="G76" s="337">
        <v>44393</v>
      </c>
      <c r="H76" s="425">
        <v>15923.400390999999</v>
      </c>
      <c r="I76" s="339">
        <f t="shared" si="3"/>
        <v>-5.0225693611349875E-5</v>
      </c>
    </row>
    <row r="77" spans="2:9" x14ac:dyDescent="0.3">
      <c r="B77" s="337">
        <v>44396</v>
      </c>
      <c r="C77" s="425">
        <v>365.14987200000002</v>
      </c>
      <c r="D77" s="338">
        <f t="shared" si="2"/>
        <v>-1.1115375802612237E-2</v>
      </c>
      <c r="G77" s="337">
        <v>44396</v>
      </c>
      <c r="H77" s="425">
        <v>15752.400390999999</v>
      </c>
      <c r="I77" s="339">
        <f t="shared" si="3"/>
        <v>-1.0738912280108814E-2</v>
      </c>
    </row>
    <row r="78" spans="2:9" x14ac:dyDescent="0.3">
      <c r="B78" s="337">
        <v>44397</v>
      </c>
      <c r="C78" s="425">
        <v>359.35611</v>
      </c>
      <c r="D78" s="338">
        <f t="shared" si="2"/>
        <v>-1.5866805507191883E-2</v>
      </c>
      <c r="G78" s="337">
        <v>44397</v>
      </c>
      <c r="H78" s="425">
        <v>15632.099609000001</v>
      </c>
      <c r="I78" s="339">
        <f t="shared" si="3"/>
        <v>-7.6369809688643375E-3</v>
      </c>
    </row>
    <row r="79" spans="2:9" x14ac:dyDescent="0.3">
      <c r="B79" s="337">
        <v>44399</v>
      </c>
      <c r="C79" s="425">
        <v>367.41574100000003</v>
      </c>
      <c r="D79" s="338">
        <f t="shared" si="2"/>
        <v>2.2427978196892351E-2</v>
      </c>
      <c r="G79" s="337">
        <v>44399</v>
      </c>
      <c r="H79" s="425">
        <v>15824.049805000001</v>
      </c>
      <c r="I79" s="339">
        <f t="shared" si="3"/>
        <v>1.2279233167724168E-2</v>
      </c>
    </row>
    <row r="80" spans="2:9" x14ac:dyDescent="0.3">
      <c r="B80" s="337">
        <v>44400</v>
      </c>
      <c r="C80" s="425">
        <v>366.91882299999997</v>
      </c>
      <c r="D80" s="338">
        <f t="shared" si="2"/>
        <v>-1.3524679118199767E-3</v>
      </c>
      <c r="G80" s="337">
        <v>44400</v>
      </c>
      <c r="H80" s="425">
        <v>15856.049805000001</v>
      </c>
      <c r="I80" s="339">
        <f t="shared" si="3"/>
        <v>2.022238326745418E-3</v>
      </c>
    </row>
    <row r="81" spans="2:9" x14ac:dyDescent="0.3">
      <c r="B81" s="337">
        <v>44403</v>
      </c>
      <c r="C81" s="425">
        <v>371.37106299999999</v>
      </c>
      <c r="D81" s="338">
        <f t="shared" si="2"/>
        <v>1.2134128098410635E-2</v>
      </c>
      <c r="G81" s="337">
        <v>44403</v>
      </c>
      <c r="H81" s="425">
        <v>15824.450194999999</v>
      </c>
      <c r="I81" s="339">
        <f t="shared" si="3"/>
        <v>-1.992905571603143E-3</v>
      </c>
    </row>
    <row r="82" spans="2:9" x14ac:dyDescent="0.3">
      <c r="B82" s="337">
        <v>44404</v>
      </c>
      <c r="C82" s="425">
        <v>398.21346999999997</v>
      </c>
      <c r="D82" s="338">
        <f t="shared" si="2"/>
        <v>7.2279209864016813E-2</v>
      </c>
      <c r="G82" s="337">
        <v>44404</v>
      </c>
      <c r="H82" s="425">
        <v>15746.450194999999</v>
      </c>
      <c r="I82" s="339">
        <f t="shared" si="3"/>
        <v>-4.9290812027482644E-3</v>
      </c>
    </row>
    <row r="83" spans="2:9" x14ac:dyDescent="0.3">
      <c r="B83" s="337">
        <v>44405</v>
      </c>
      <c r="C83" s="425">
        <v>392.151276</v>
      </c>
      <c r="D83" s="338">
        <f t="shared" si="2"/>
        <v>-1.5223478000380042E-2</v>
      </c>
      <c r="G83" s="337">
        <v>44405</v>
      </c>
      <c r="H83" s="425">
        <v>15709.400390999999</v>
      </c>
      <c r="I83" s="339">
        <f t="shared" si="3"/>
        <v>-2.3528988147286656E-3</v>
      </c>
    </row>
    <row r="84" spans="2:9" x14ac:dyDescent="0.3">
      <c r="B84" s="337">
        <v>44406</v>
      </c>
      <c r="C84" s="425">
        <v>387.013397</v>
      </c>
      <c r="D84" s="338">
        <f t="shared" si="2"/>
        <v>-1.3101778100551131E-2</v>
      </c>
      <c r="G84" s="337">
        <v>44406</v>
      </c>
      <c r="H84" s="425">
        <v>15778.450194999999</v>
      </c>
      <c r="I84" s="339">
        <f t="shared" si="3"/>
        <v>4.3954449107783677E-3</v>
      </c>
    </row>
    <row r="85" spans="2:9" x14ac:dyDescent="0.3">
      <c r="B85" s="337">
        <v>44407</v>
      </c>
      <c r="C85" s="425">
        <v>374.26303100000001</v>
      </c>
      <c r="D85" s="338">
        <f t="shared" si="2"/>
        <v>-3.2945541675912571E-2</v>
      </c>
      <c r="G85" s="337">
        <v>44407</v>
      </c>
      <c r="H85" s="425">
        <v>15763.049805000001</v>
      </c>
      <c r="I85" s="339">
        <f t="shared" si="3"/>
        <v>-9.7603945949509274E-4</v>
      </c>
    </row>
    <row r="86" spans="2:9" x14ac:dyDescent="0.3">
      <c r="B86" s="337">
        <v>44410</v>
      </c>
      <c r="C86" s="425">
        <v>389.09042399999998</v>
      </c>
      <c r="D86" s="338">
        <f t="shared" si="2"/>
        <v>3.9617573128669425E-2</v>
      </c>
      <c r="G86" s="337">
        <v>44410</v>
      </c>
      <c r="H86" s="425">
        <v>15885.150390999999</v>
      </c>
      <c r="I86" s="339">
        <f t="shared" si="3"/>
        <v>7.7460001402309686E-3</v>
      </c>
    </row>
    <row r="87" spans="2:9" x14ac:dyDescent="0.3">
      <c r="B87" s="337">
        <v>44411</v>
      </c>
      <c r="C87" s="425">
        <v>393.68176299999999</v>
      </c>
      <c r="D87" s="338">
        <f t="shared" si="2"/>
        <v>1.1800185038735478E-2</v>
      </c>
      <c r="G87" s="337">
        <v>44411</v>
      </c>
      <c r="H87" s="425">
        <v>16130.75</v>
      </c>
      <c r="I87" s="339">
        <f t="shared" si="3"/>
        <v>1.5460955858444425E-2</v>
      </c>
    </row>
    <row r="88" spans="2:9" x14ac:dyDescent="0.3">
      <c r="B88" s="337">
        <v>44412</v>
      </c>
      <c r="C88" s="425">
        <v>394.44695999999999</v>
      </c>
      <c r="D88" s="338">
        <f t="shared" si="2"/>
        <v>1.9436943031572174E-3</v>
      </c>
      <c r="G88" s="337">
        <v>44412</v>
      </c>
      <c r="H88" s="425">
        <v>16258.799805000001</v>
      </c>
      <c r="I88" s="339">
        <f t="shared" si="3"/>
        <v>7.9382424871752288E-3</v>
      </c>
    </row>
    <row r="89" spans="2:9" x14ac:dyDescent="0.3">
      <c r="B89" s="337">
        <v>44413</v>
      </c>
      <c r="C89" s="425">
        <v>392.04199199999999</v>
      </c>
      <c r="D89" s="338">
        <f t="shared" si="2"/>
        <v>-6.0970630880258225E-3</v>
      </c>
      <c r="G89" s="337">
        <v>44413</v>
      </c>
      <c r="H89" s="425">
        <v>16294.599609000001</v>
      </c>
      <c r="I89" s="339">
        <f t="shared" si="3"/>
        <v>2.2018724893204666E-3</v>
      </c>
    </row>
    <row r="90" spans="2:9" x14ac:dyDescent="0.3">
      <c r="B90" s="337">
        <v>44414</v>
      </c>
      <c r="C90" s="425">
        <v>390.49160799999999</v>
      </c>
      <c r="D90" s="338">
        <f t="shared" si="2"/>
        <v>-3.9546375940259226E-3</v>
      </c>
      <c r="G90" s="337">
        <v>44414</v>
      </c>
      <c r="H90" s="425">
        <v>16238.200194999999</v>
      </c>
      <c r="I90" s="339">
        <f t="shared" si="3"/>
        <v>-3.4612334978055825E-3</v>
      </c>
    </row>
    <row r="91" spans="2:9" x14ac:dyDescent="0.3">
      <c r="B91" s="337">
        <v>44417</v>
      </c>
      <c r="C91" s="425">
        <v>381.51769999999999</v>
      </c>
      <c r="D91" s="338">
        <f t="shared" si="2"/>
        <v>-2.2981052130574886E-2</v>
      </c>
      <c r="G91" s="337">
        <v>44417</v>
      </c>
      <c r="H91" s="425">
        <v>16258.25</v>
      </c>
      <c r="I91" s="339">
        <f t="shared" si="3"/>
        <v>1.2347307435078836E-3</v>
      </c>
    </row>
    <row r="92" spans="2:9" x14ac:dyDescent="0.3">
      <c r="B92" s="337">
        <v>44418</v>
      </c>
      <c r="C92" s="425">
        <v>360.73745700000001</v>
      </c>
      <c r="D92" s="338">
        <f t="shared" si="2"/>
        <v>-5.4467310428847671E-2</v>
      </c>
      <c r="G92" s="337">
        <v>44418</v>
      </c>
      <c r="H92" s="425">
        <v>16280.099609000001</v>
      </c>
      <c r="I92" s="339">
        <f t="shared" si="3"/>
        <v>1.3439090307998391E-3</v>
      </c>
    </row>
    <row r="93" spans="2:9" x14ac:dyDescent="0.3">
      <c r="B93" s="337">
        <v>44419</v>
      </c>
      <c r="C93" s="425">
        <v>352.47900399999997</v>
      </c>
      <c r="D93" s="338">
        <f t="shared" si="2"/>
        <v>-2.2893250589167469E-2</v>
      </c>
      <c r="G93" s="337">
        <v>44419</v>
      </c>
      <c r="H93" s="425">
        <v>16282.25</v>
      </c>
      <c r="I93" s="339">
        <f t="shared" si="3"/>
        <v>1.3208709108947225E-4</v>
      </c>
    </row>
    <row r="94" spans="2:9" x14ac:dyDescent="0.3">
      <c r="B94" s="337">
        <v>44420</v>
      </c>
      <c r="C94" s="425">
        <v>363.639343</v>
      </c>
      <c r="D94" s="338">
        <f t="shared" si="2"/>
        <v>3.1662422082876729E-2</v>
      </c>
      <c r="G94" s="337">
        <v>44420</v>
      </c>
      <c r="H94" s="425">
        <v>16364.400390999999</v>
      </c>
      <c r="I94" s="339">
        <f t="shared" si="3"/>
        <v>5.0453955073777035E-3</v>
      </c>
    </row>
    <row r="95" spans="2:9" x14ac:dyDescent="0.3">
      <c r="B95" s="337">
        <v>44421</v>
      </c>
      <c r="C95" s="425">
        <v>360.29025300000001</v>
      </c>
      <c r="D95" s="338">
        <f t="shared" si="2"/>
        <v>-9.2099220408061733E-3</v>
      </c>
      <c r="G95" s="337">
        <v>44421</v>
      </c>
      <c r="H95" s="425">
        <v>16529.099609000001</v>
      </c>
      <c r="I95" s="339">
        <f t="shared" si="3"/>
        <v>1.0064482294785515E-2</v>
      </c>
    </row>
    <row r="96" spans="2:9" x14ac:dyDescent="0.3">
      <c r="B96" s="337">
        <v>44424</v>
      </c>
      <c r="C96" s="425">
        <v>366.00457799999998</v>
      </c>
      <c r="D96" s="338">
        <f t="shared" si="2"/>
        <v>1.5860337470744668E-2</v>
      </c>
      <c r="G96" s="337">
        <v>44424</v>
      </c>
      <c r="H96" s="425">
        <v>16563.050781000002</v>
      </c>
      <c r="I96" s="339">
        <f t="shared" si="3"/>
        <v>2.0540242846327494E-3</v>
      </c>
    </row>
    <row r="97" spans="2:9" x14ac:dyDescent="0.3">
      <c r="B97" s="337">
        <v>44425</v>
      </c>
      <c r="C97" s="425">
        <v>355.26165800000001</v>
      </c>
      <c r="D97" s="338">
        <f t="shared" si="2"/>
        <v>-2.9351873298153031E-2</v>
      </c>
      <c r="G97" s="337">
        <v>44425</v>
      </c>
      <c r="H97" s="425">
        <v>16614.599609000001</v>
      </c>
      <c r="I97" s="339">
        <f t="shared" si="3"/>
        <v>3.1122785700283817E-3</v>
      </c>
    </row>
    <row r="98" spans="2:9" x14ac:dyDescent="0.3">
      <c r="B98" s="337">
        <v>44426</v>
      </c>
      <c r="C98" s="425">
        <v>353.77099600000003</v>
      </c>
      <c r="D98" s="338">
        <f t="shared" si="2"/>
        <v>-4.1959551964935171E-3</v>
      </c>
      <c r="G98" s="337">
        <v>44426</v>
      </c>
      <c r="H98" s="425">
        <v>16568.849609000001</v>
      </c>
      <c r="I98" s="339">
        <f t="shared" si="3"/>
        <v>-2.7536023182417324E-3</v>
      </c>
    </row>
    <row r="99" spans="2:9" x14ac:dyDescent="0.3">
      <c r="B99" s="337">
        <v>44428</v>
      </c>
      <c r="C99" s="425">
        <v>348.692657</v>
      </c>
      <c r="D99" s="338">
        <f t="shared" si="2"/>
        <v>-1.4354876621937684E-2</v>
      </c>
      <c r="G99" s="337">
        <v>44428</v>
      </c>
      <c r="H99" s="425">
        <v>16450.5</v>
      </c>
      <c r="I99" s="339">
        <f t="shared" si="3"/>
        <v>-7.1428983781538502E-3</v>
      </c>
    </row>
    <row r="100" spans="2:9" x14ac:dyDescent="0.3">
      <c r="B100" s="337">
        <v>44431</v>
      </c>
      <c r="C100" s="425">
        <v>343.59451300000001</v>
      </c>
      <c r="D100" s="338">
        <f t="shared" si="2"/>
        <v>-1.462073805586328E-2</v>
      </c>
      <c r="G100" s="337">
        <v>44431</v>
      </c>
      <c r="H100" s="425">
        <v>16496.449218999998</v>
      </c>
      <c r="I100" s="339">
        <f t="shared" si="3"/>
        <v>2.7931806935959091E-3</v>
      </c>
    </row>
    <row r="101" spans="2:9" x14ac:dyDescent="0.3">
      <c r="B101" s="337">
        <v>44432</v>
      </c>
      <c r="C101" s="425">
        <v>340.27520800000002</v>
      </c>
      <c r="D101" s="338">
        <f t="shared" si="2"/>
        <v>-9.6605297070037066E-3</v>
      </c>
      <c r="G101" s="337">
        <v>44432</v>
      </c>
      <c r="H101" s="425">
        <v>16624.599609000001</v>
      </c>
      <c r="I101" s="339">
        <f t="shared" si="3"/>
        <v>7.7683620455972768E-3</v>
      </c>
    </row>
    <row r="102" spans="2:9" x14ac:dyDescent="0.3">
      <c r="B102" s="337">
        <v>44433</v>
      </c>
      <c r="C102" s="425">
        <v>349.56720000000001</v>
      </c>
      <c r="D102" s="338">
        <f t="shared" si="2"/>
        <v>2.7307284755226702E-2</v>
      </c>
      <c r="G102" s="337">
        <v>44433</v>
      </c>
      <c r="H102" s="425">
        <v>16634.650390999999</v>
      </c>
      <c r="I102" s="339">
        <f t="shared" si="3"/>
        <v>6.0457287612258881E-4</v>
      </c>
    </row>
    <row r="103" spans="2:9" x14ac:dyDescent="0.3">
      <c r="B103" s="337">
        <v>44434</v>
      </c>
      <c r="C103" s="425">
        <v>345.43301400000001</v>
      </c>
      <c r="D103" s="338">
        <f t="shared" si="2"/>
        <v>-1.1826584416386843E-2</v>
      </c>
      <c r="G103" s="337">
        <v>44434</v>
      </c>
      <c r="H103" s="425">
        <v>16636.900390999999</v>
      </c>
      <c r="I103" s="339">
        <f t="shared" si="3"/>
        <v>1.3525983096207561E-4</v>
      </c>
    </row>
    <row r="104" spans="2:9" x14ac:dyDescent="0.3">
      <c r="B104" s="337">
        <v>44435</v>
      </c>
      <c r="C104" s="425">
        <v>341.31869499999999</v>
      </c>
      <c r="D104" s="338">
        <f t="shared" si="2"/>
        <v>-1.1910613152916638E-2</v>
      </c>
      <c r="G104" s="337">
        <v>44435</v>
      </c>
      <c r="H104" s="425">
        <v>16705.199218999998</v>
      </c>
      <c r="I104" s="339">
        <f t="shared" si="3"/>
        <v>4.1052615808738757E-3</v>
      </c>
    </row>
    <row r="105" spans="2:9" x14ac:dyDescent="0.3">
      <c r="B105" s="337">
        <v>44438</v>
      </c>
      <c r="C105" s="425">
        <v>341.66650399999997</v>
      </c>
      <c r="D105" s="338">
        <f t="shared" si="2"/>
        <v>1.0190153809184199E-3</v>
      </c>
      <c r="G105" s="337">
        <v>44438</v>
      </c>
      <c r="H105" s="425">
        <v>16931.050781000002</v>
      </c>
      <c r="I105" s="339">
        <f t="shared" si="3"/>
        <v>1.351983649157118E-2</v>
      </c>
    </row>
    <row r="106" spans="2:9" x14ac:dyDescent="0.3">
      <c r="B106" s="337">
        <v>44439</v>
      </c>
      <c r="C106" s="425">
        <v>352.38958700000001</v>
      </c>
      <c r="D106" s="338">
        <f t="shared" si="2"/>
        <v>3.1384648112886326E-2</v>
      </c>
      <c r="G106" s="337">
        <v>44439</v>
      </c>
      <c r="H106" s="425">
        <v>17132.199218999998</v>
      </c>
      <c r="I106" s="339">
        <f t="shared" si="3"/>
        <v>1.1880446205130069E-2</v>
      </c>
    </row>
    <row r="107" spans="2:9" x14ac:dyDescent="0.3">
      <c r="B107" s="337">
        <v>44440</v>
      </c>
      <c r="C107" s="425">
        <v>353.64227299999999</v>
      </c>
      <c r="D107" s="338">
        <f t="shared" si="2"/>
        <v>3.5548326233600935E-3</v>
      </c>
      <c r="G107" s="337">
        <v>44440</v>
      </c>
      <c r="H107" s="425">
        <v>17076.25</v>
      </c>
      <c r="I107" s="339">
        <f t="shared" si="3"/>
        <v>-3.2657347889084587E-3</v>
      </c>
    </row>
    <row r="108" spans="2:9" x14ac:dyDescent="0.3">
      <c r="B108" s="337">
        <v>44441</v>
      </c>
      <c r="C108" s="425">
        <v>383.45202599999999</v>
      </c>
      <c r="D108" s="338">
        <f t="shared" si="2"/>
        <v>8.4293522793865705E-2</v>
      </c>
      <c r="G108" s="337">
        <v>44441</v>
      </c>
      <c r="H108" s="425">
        <v>17234.150390999999</v>
      </c>
      <c r="I108" s="339">
        <f t="shared" si="3"/>
        <v>9.2467837493594995E-3</v>
      </c>
    </row>
    <row r="109" spans="2:9" x14ac:dyDescent="0.3">
      <c r="B109" s="337">
        <v>44442</v>
      </c>
      <c r="C109" s="425">
        <v>392.85726899999997</v>
      </c>
      <c r="D109" s="338">
        <f t="shared" si="2"/>
        <v>2.4527821897595059E-2</v>
      </c>
      <c r="G109" s="337">
        <v>44442</v>
      </c>
      <c r="H109" s="425">
        <v>17323.599609000001</v>
      </c>
      <c r="I109" s="339">
        <f t="shared" si="3"/>
        <v>5.1902307900664191E-3</v>
      </c>
    </row>
    <row r="110" spans="2:9" x14ac:dyDescent="0.3">
      <c r="B110" s="337">
        <v>44445</v>
      </c>
      <c r="C110" s="425">
        <v>398.50637799999998</v>
      </c>
      <c r="D110" s="338">
        <f t="shared" si="2"/>
        <v>1.437954556467691E-2</v>
      </c>
      <c r="G110" s="337">
        <v>44445</v>
      </c>
      <c r="H110" s="425">
        <v>17377.800781000002</v>
      </c>
      <c r="I110" s="339">
        <f t="shared" si="3"/>
        <v>3.1287476750410104E-3</v>
      </c>
    </row>
    <row r="111" spans="2:9" x14ac:dyDescent="0.3">
      <c r="B111" s="337">
        <v>44446</v>
      </c>
      <c r="C111" s="425">
        <v>396.03552200000001</v>
      </c>
      <c r="D111" s="338">
        <f t="shared" si="2"/>
        <v>-6.2002922322110798E-3</v>
      </c>
      <c r="G111" s="337">
        <v>44446</v>
      </c>
      <c r="H111" s="425">
        <v>17362.099609000001</v>
      </c>
      <c r="I111" s="339">
        <f t="shared" si="3"/>
        <v>-9.0351893187590182E-4</v>
      </c>
    </row>
    <row r="112" spans="2:9" x14ac:dyDescent="0.3">
      <c r="B112" s="337">
        <v>44447</v>
      </c>
      <c r="C112" s="425">
        <v>399.96099900000002</v>
      </c>
      <c r="D112" s="338">
        <f t="shared" si="2"/>
        <v>9.9119315867832736E-3</v>
      </c>
      <c r="G112" s="337">
        <v>44447</v>
      </c>
      <c r="H112" s="425">
        <v>17353.5</v>
      </c>
      <c r="I112" s="339">
        <f t="shared" si="3"/>
        <v>-4.9530927673879788E-4</v>
      </c>
    </row>
    <row r="113" spans="2:9" x14ac:dyDescent="0.3">
      <c r="B113" s="337">
        <v>44448</v>
      </c>
      <c r="C113" s="425">
        <v>454.45950299999998</v>
      </c>
      <c r="D113" s="338">
        <f t="shared" si="2"/>
        <v>0.13625954564634934</v>
      </c>
      <c r="G113" s="337">
        <v>44448</v>
      </c>
      <c r="H113" s="425">
        <v>17369.25</v>
      </c>
      <c r="I113" s="339">
        <f t="shared" si="3"/>
        <v>9.0759789091543475E-4</v>
      </c>
    </row>
    <row r="114" spans="2:9" x14ac:dyDescent="0.3">
      <c r="B114" s="337">
        <v>44452</v>
      </c>
      <c r="C114" s="425">
        <v>435.00143400000002</v>
      </c>
      <c r="D114" s="338">
        <f t="shared" si="2"/>
        <v>-4.2815847994271072E-2</v>
      </c>
      <c r="G114" s="337">
        <v>44452</v>
      </c>
      <c r="H114" s="425">
        <v>17355.300781000002</v>
      </c>
      <c r="I114" s="339">
        <f t="shared" si="3"/>
        <v>-8.0309852181292829E-4</v>
      </c>
    </row>
    <row r="115" spans="2:9" x14ac:dyDescent="0.3">
      <c r="B115" s="337">
        <v>44453</v>
      </c>
      <c r="C115" s="425">
        <v>445.73174999999998</v>
      </c>
      <c r="D115" s="338">
        <f t="shared" si="2"/>
        <v>2.4667311786378932E-2</v>
      </c>
      <c r="G115" s="337">
        <v>44453</v>
      </c>
      <c r="H115" s="425">
        <v>17380</v>
      </c>
      <c r="I115" s="339">
        <f t="shared" si="3"/>
        <v>1.4231513075841917E-3</v>
      </c>
    </row>
    <row r="116" spans="2:9" x14ac:dyDescent="0.3">
      <c r="B116" s="337">
        <v>44454</v>
      </c>
      <c r="C116" s="425">
        <v>438.10995500000001</v>
      </c>
      <c r="D116" s="338">
        <f t="shared" si="2"/>
        <v>-1.7099511084862073E-2</v>
      </c>
      <c r="G116" s="337">
        <v>44454</v>
      </c>
      <c r="H116" s="425">
        <v>17519.449218999998</v>
      </c>
      <c r="I116" s="339">
        <f t="shared" si="3"/>
        <v>8.0235453970078918E-3</v>
      </c>
    </row>
    <row r="117" spans="2:9" x14ac:dyDescent="0.3">
      <c r="B117" s="337">
        <v>44455</v>
      </c>
      <c r="C117" s="425">
        <v>433.726135</v>
      </c>
      <c r="D117" s="338">
        <f t="shared" si="2"/>
        <v>-1.0006209514230258E-2</v>
      </c>
      <c r="G117" s="337">
        <v>44455</v>
      </c>
      <c r="H117" s="425">
        <v>17629.5</v>
      </c>
      <c r="I117" s="339">
        <f t="shared" si="3"/>
        <v>6.2816347491478908E-3</v>
      </c>
    </row>
    <row r="118" spans="2:9" x14ac:dyDescent="0.3">
      <c r="B118" s="337">
        <v>44456</v>
      </c>
      <c r="C118" s="425">
        <v>442.77270499999997</v>
      </c>
      <c r="D118" s="338">
        <f t="shared" si="2"/>
        <v>2.0857793132525781E-2</v>
      </c>
      <c r="G118" s="337">
        <v>44456</v>
      </c>
      <c r="H118" s="425">
        <v>17585.150390999999</v>
      </c>
      <c r="I118" s="339">
        <f t="shared" si="3"/>
        <v>-2.5156475793415289E-3</v>
      </c>
    </row>
    <row r="119" spans="2:9" x14ac:dyDescent="0.3">
      <c r="B119" s="337">
        <v>44459</v>
      </c>
      <c r="C119" s="425">
        <v>432.09219400000001</v>
      </c>
      <c r="D119" s="338">
        <f t="shared" si="2"/>
        <v>-2.4121882129116257E-2</v>
      </c>
      <c r="G119" s="337">
        <v>44459</v>
      </c>
      <c r="H119" s="425">
        <v>17396.900390999999</v>
      </c>
      <c r="I119" s="339">
        <f t="shared" si="3"/>
        <v>-1.0705054879504794E-2</v>
      </c>
    </row>
    <row r="120" spans="2:9" x14ac:dyDescent="0.3">
      <c r="B120" s="337">
        <v>44460</v>
      </c>
      <c r="C120" s="425">
        <v>418.06405599999999</v>
      </c>
      <c r="D120" s="338">
        <f t="shared" si="2"/>
        <v>-3.2465613114038394E-2</v>
      </c>
      <c r="G120" s="337">
        <v>44460</v>
      </c>
      <c r="H120" s="425">
        <v>17562</v>
      </c>
      <c r="I120" s="339">
        <f t="shared" si="3"/>
        <v>9.4901738407040526E-3</v>
      </c>
    </row>
    <row r="121" spans="2:9" x14ac:dyDescent="0.3">
      <c r="B121" s="337">
        <v>44461</v>
      </c>
      <c r="C121" s="425">
        <v>422.19879200000003</v>
      </c>
      <c r="D121" s="338">
        <f t="shared" si="2"/>
        <v>9.8901973050753433E-3</v>
      </c>
      <c r="G121" s="337">
        <v>44461</v>
      </c>
      <c r="H121" s="425">
        <v>17546.650390999999</v>
      </c>
      <c r="I121" s="339">
        <f t="shared" si="3"/>
        <v>-8.7402397221281181E-4</v>
      </c>
    </row>
    <row r="122" spans="2:9" x14ac:dyDescent="0.3">
      <c r="B122" s="337">
        <v>44462</v>
      </c>
      <c r="C122" s="425">
        <v>418.14376800000002</v>
      </c>
      <c r="D122" s="338">
        <f t="shared" si="2"/>
        <v>-9.6045371915701727E-3</v>
      </c>
      <c r="G122" s="337">
        <v>44462</v>
      </c>
      <c r="H122" s="425">
        <v>17822.949218999998</v>
      </c>
      <c r="I122" s="339">
        <f t="shared" si="3"/>
        <v>1.5746528359721346E-2</v>
      </c>
    </row>
    <row r="123" spans="2:9" x14ac:dyDescent="0.3">
      <c r="B123" s="337">
        <v>44463</v>
      </c>
      <c r="C123" s="425">
        <v>459.79974399999998</v>
      </c>
      <c r="D123" s="338">
        <f t="shared" si="2"/>
        <v>9.9621181009685422E-2</v>
      </c>
      <c r="G123" s="337">
        <v>44463</v>
      </c>
      <c r="H123" s="425">
        <v>17853.199218999998</v>
      </c>
      <c r="I123" s="339">
        <f t="shared" si="3"/>
        <v>1.6972499684706488E-3</v>
      </c>
    </row>
    <row r="124" spans="2:9" x14ac:dyDescent="0.3">
      <c r="B124" s="337">
        <v>44466</v>
      </c>
      <c r="C124" s="425">
        <v>471.55627399999997</v>
      </c>
      <c r="D124" s="338">
        <f t="shared" si="2"/>
        <v>2.5568805014384743E-2</v>
      </c>
      <c r="G124" s="337">
        <v>44466</v>
      </c>
      <c r="H124" s="425">
        <v>17855.099609000001</v>
      </c>
      <c r="I124" s="339">
        <f t="shared" si="3"/>
        <v>1.0644534778836423E-4</v>
      </c>
    </row>
    <row r="125" spans="2:9" x14ac:dyDescent="0.3">
      <c r="B125" s="337">
        <v>44467</v>
      </c>
      <c r="C125" s="425">
        <v>448.24246199999999</v>
      </c>
      <c r="D125" s="338">
        <f t="shared" si="2"/>
        <v>-4.9440148049010979E-2</v>
      </c>
      <c r="G125" s="337">
        <v>44467</v>
      </c>
      <c r="H125" s="425">
        <v>17748.599609000001</v>
      </c>
      <c r="I125" s="339">
        <f t="shared" si="3"/>
        <v>-5.9646824902795936E-3</v>
      </c>
    </row>
    <row r="126" spans="2:9" x14ac:dyDescent="0.3">
      <c r="B126" s="337">
        <v>44468</v>
      </c>
      <c r="C126" s="425">
        <v>426.12426799999997</v>
      </c>
      <c r="D126" s="338">
        <f t="shared" si="2"/>
        <v>-4.9344263150152057E-2</v>
      </c>
      <c r="G126" s="337">
        <v>44468</v>
      </c>
      <c r="H126" s="425">
        <v>17711.300781000002</v>
      </c>
      <c r="I126" s="339">
        <f t="shared" si="3"/>
        <v>-2.1015082215887215E-3</v>
      </c>
    </row>
    <row r="127" spans="2:9" x14ac:dyDescent="0.3">
      <c r="B127" s="337">
        <v>44469</v>
      </c>
      <c r="C127" s="425">
        <v>423.683289</v>
      </c>
      <c r="D127" s="338">
        <f t="shared" si="2"/>
        <v>-5.728326648600901E-3</v>
      </c>
      <c r="G127" s="337">
        <v>44469</v>
      </c>
      <c r="H127" s="425">
        <v>17618.150390999999</v>
      </c>
      <c r="I127" s="339">
        <f t="shared" si="3"/>
        <v>-5.259375985525061E-3</v>
      </c>
    </row>
    <row r="128" spans="2:9" x14ac:dyDescent="0.3">
      <c r="B128" s="337">
        <v>44470</v>
      </c>
      <c r="C128" s="425">
        <v>424.48031600000002</v>
      </c>
      <c r="D128" s="338">
        <f t="shared" si="2"/>
        <v>1.8811858307681284E-3</v>
      </c>
      <c r="G128" s="337">
        <v>44470</v>
      </c>
      <c r="H128" s="425">
        <v>17532.050781000002</v>
      </c>
      <c r="I128" s="339">
        <f t="shared" si="3"/>
        <v>-4.886983485166585E-3</v>
      </c>
    </row>
    <row r="129" spans="2:9" x14ac:dyDescent="0.3">
      <c r="B129" s="337">
        <v>44473</v>
      </c>
      <c r="C129" s="425">
        <v>424.33090199999998</v>
      </c>
      <c r="D129" s="338">
        <f t="shared" si="2"/>
        <v>-3.5199276472464014E-4</v>
      </c>
      <c r="G129" s="337">
        <v>44473</v>
      </c>
      <c r="H129" s="425">
        <v>17691.25</v>
      </c>
      <c r="I129" s="339">
        <f t="shared" si="3"/>
        <v>9.08046759552672E-3</v>
      </c>
    </row>
    <row r="130" spans="2:9" x14ac:dyDescent="0.3">
      <c r="B130" s="337">
        <v>44474</v>
      </c>
      <c r="C130" s="425">
        <v>435.14093000000003</v>
      </c>
      <c r="D130" s="338">
        <f t="shared" si="2"/>
        <v>2.5475467256919293E-2</v>
      </c>
      <c r="G130" s="337">
        <v>44474</v>
      </c>
      <c r="H130" s="425">
        <v>17822.300781000002</v>
      </c>
      <c r="I130" s="339">
        <f t="shared" si="3"/>
        <v>7.4076609058151277E-3</v>
      </c>
    </row>
    <row r="131" spans="2:9" x14ac:dyDescent="0.3">
      <c r="B131" s="337">
        <v>44475</v>
      </c>
      <c r="C131" s="425">
        <v>443.061646</v>
      </c>
      <c r="D131" s="338">
        <f t="shared" si="2"/>
        <v>1.8202645290113173E-2</v>
      </c>
      <c r="G131" s="337">
        <v>44475</v>
      </c>
      <c r="H131" s="425">
        <v>17646</v>
      </c>
      <c r="I131" s="339">
        <f t="shared" si="3"/>
        <v>-9.8921448564011083E-3</v>
      </c>
    </row>
    <row r="132" spans="2:9" x14ac:dyDescent="0.3">
      <c r="B132" s="337">
        <v>44476</v>
      </c>
      <c r="C132" s="425">
        <v>451.131775</v>
      </c>
      <c r="D132" s="338">
        <f t="shared" si="2"/>
        <v>1.8214460838255508E-2</v>
      </c>
      <c r="G132" s="337">
        <v>44476</v>
      </c>
      <c r="H132" s="425">
        <v>17790.349609000001</v>
      </c>
      <c r="I132" s="339">
        <f t="shared" si="3"/>
        <v>8.1803019947863653E-3</v>
      </c>
    </row>
    <row r="133" spans="2:9" x14ac:dyDescent="0.3">
      <c r="B133" s="337">
        <v>44477</v>
      </c>
      <c r="C133" s="425">
        <v>455.91409299999998</v>
      </c>
      <c r="D133" s="338">
        <f t="shared" ref="D133:D196" si="4">C133/C132-1</f>
        <v>1.0600711953840936E-2</v>
      </c>
      <c r="G133" s="337">
        <v>44477</v>
      </c>
      <c r="H133" s="425">
        <v>17895.199218999998</v>
      </c>
      <c r="I133" s="339">
        <f t="shared" si="3"/>
        <v>5.893622795751785E-3</v>
      </c>
    </row>
    <row r="134" spans="2:9" x14ac:dyDescent="0.3">
      <c r="B134" s="337">
        <v>44480</v>
      </c>
      <c r="C134" s="425">
        <v>449.98602299999999</v>
      </c>
      <c r="D134" s="338">
        <f t="shared" si="4"/>
        <v>-1.3002603102247101E-2</v>
      </c>
      <c r="G134" s="337">
        <v>44480</v>
      </c>
      <c r="H134" s="425">
        <v>17945.949218999998</v>
      </c>
      <c r="I134" s="339">
        <f t="shared" ref="I134:I197" si="5">H134/H133-1</f>
        <v>2.8359561343198614E-3</v>
      </c>
    </row>
    <row r="135" spans="2:9" x14ac:dyDescent="0.3">
      <c r="B135" s="337">
        <v>44481</v>
      </c>
      <c r="C135" s="425">
        <v>459.65029900000002</v>
      </c>
      <c r="D135" s="338">
        <f t="shared" si="4"/>
        <v>2.1476835959413965E-2</v>
      </c>
      <c r="G135" s="337">
        <v>44481</v>
      </c>
      <c r="H135" s="425">
        <v>17991.949218999998</v>
      </c>
      <c r="I135" s="339">
        <f t="shared" si="5"/>
        <v>2.5632525445518084E-3</v>
      </c>
    </row>
    <row r="136" spans="2:9" x14ac:dyDescent="0.3">
      <c r="B136" s="337">
        <v>44482</v>
      </c>
      <c r="C136" s="425">
        <v>474.34594700000002</v>
      </c>
      <c r="D136" s="338">
        <f t="shared" si="4"/>
        <v>3.1971366127622192E-2</v>
      </c>
      <c r="G136" s="337">
        <v>44482</v>
      </c>
      <c r="H136" s="425">
        <v>18161.75</v>
      </c>
      <c r="I136" s="339">
        <f t="shared" si="5"/>
        <v>9.4375978351854961E-3</v>
      </c>
    </row>
    <row r="137" spans="2:9" x14ac:dyDescent="0.3">
      <c r="B137" s="337">
        <v>44483</v>
      </c>
      <c r="C137" s="425">
        <v>470.21124300000002</v>
      </c>
      <c r="D137" s="338">
        <f t="shared" si="4"/>
        <v>-8.71664241288439E-3</v>
      </c>
      <c r="G137" s="337">
        <v>44483</v>
      </c>
      <c r="H137" s="425">
        <v>18338.550781000002</v>
      </c>
      <c r="I137" s="339">
        <f t="shared" si="5"/>
        <v>9.7347877269537975E-3</v>
      </c>
    </row>
    <row r="138" spans="2:9" x14ac:dyDescent="0.3">
      <c r="B138" s="337">
        <v>44487</v>
      </c>
      <c r="C138" s="425">
        <v>478.92901599999999</v>
      </c>
      <c r="D138" s="338">
        <f t="shared" si="4"/>
        <v>1.8540120275261085E-2</v>
      </c>
      <c r="G138" s="337">
        <v>44487</v>
      </c>
      <c r="H138" s="425">
        <v>18477.050781000002</v>
      </c>
      <c r="I138" s="339">
        <f t="shared" si="5"/>
        <v>7.5523961328227696E-3</v>
      </c>
    </row>
    <row r="139" spans="2:9" x14ac:dyDescent="0.3">
      <c r="B139" s="337">
        <v>44488</v>
      </c>
      <c r="C139" s="425">
        <v>468.41787699999998</v>
      </c>
      <c r="D139" s="338">
        <f t="shared" si="4"/>
        <v>-2.1947175152987608E-2</v>
      </c>
      <c r="G139" s="337">
        <v>44488</v>
      </c>
      <c r="H139" s="425">
        <v>18418.75</v>
      </c>
      <c r="I139" s="339">
        <f t="shared" si="5"/>
        <v>-3.1553077215089598E-3</v>
      </c>
    </row>
    <row r="140" spans="2:9" x14ac:dyDescent="0.3">
      <c r="B140" s="337">
        <v>44489</v>
      </c>
      <c r="C140" s="425">
        <v>448.98968500000001</v>
      </c>
      <c r="D140" s="338">
        <f t="shared" si="4"/>
        <v>-4.1476196690930278E-2</v>
      </c>
      <c r="G140" s="337">
        <v>44489</v>
      </c>
      <c r="H140" s="425">
        <v>18266.599609000001</v>
      </c>
      <c r="I140" s="339">
        <f t="shared" si="5"/>
        <v>-8.2606252324397555E-3</v>
      </c>
    </row>
    <row r="141" spans="2:9" x14ac:dyDescent="0.3">
      <c r="B141" s="337">
        <v>44490</v>
      </c>
      <c r="C141" s="425">
        <v>441.81625400000001</v>
      </c>
      <c r="D141" s="338">
        <f t="shared" si="4"/>
        <v>-1.59768280645467E-2</v>
      </c>
      <c r="G141" s="337">
        <v>44490</v>
      </c>
      <c r="H141" s="425">
        <v>18178.099609000001</v>
      </c>
      <c r="I141" s="339">
        <f t="shared" si="5"/>
        <v>-4.844908296801731E-3</v>
      </c>
    </row>
    <row r="142" spans="2:9" x14ac:dyDescent="0.3">
      <c r="B142" s="337">
        <v>44491</v>
      </c>
      <c r="C142" s="425">
        <v>421.49136399999998</v>
      </c>
      <c r="D142" s="338">
        <f t="shared" si="4"/>
        <v>-4.6003038177042765E-2</v>
      </c>
      <c r="G142" s="337">
        <v>44491</v>
      </c>
      <c r="H142" s="425">
        <v>18114.900390999999</v>
      </c>
      <c r="I142" s="339">
        <f t="shared" si="5"/>
        <v>-3.4766680433806485E-3</v>
      </c>
    </row>
    <row r="143" spans="2:9" x14ac:dyDescent="0.3">
      <c r="B143" s="337">
        <v>44494</v>
      </c>
      <c r="C143" s="425">
        <v>432.20178199999998</v>
      </c>
      <c r="D143" s="338">
        <f t="shared" si="4"/>
        <v>2.5410764999683311E-2</v>
      </c>
      <c r="G143" s="337">
        <v>44494</v>
      </c>
      <c r="H143" s="425">
        <v>18125.400390999999</v>
      </c>
      <c r="I143" s="339">
        <f t="shared" si="5"/>
        <v>5.7963332799859657E-4</v>
      </c>
    </row>
    <row r="144" spans="2:9" x14ac:dyDescent="0.3">
      <c r="B144" s="337">
        <v>44495</v>
      </c>
      <c r="C144" s="425">
        <v>464.38278200000002</v>
      </c>
      <c r="D144" s="338">
        <f t="shared" si="4"/>
        <v>7.4458276990630345E-2</v>
      </c>
      <c r="G144" s="337">
        <v>44495</v>
      </c>
      <c r="H144" s="425">
        <v>18268.400390999999</v>
      </c>
      <c r="I144" s="339">
        <f t="shared" si="5"/>
        <v>7.8894808895368929E-3</v>
      </c>
    </row>
    <row r="145" spans="2:9" x14ac:dyDescent="0.3">
      <c r="B145" s="337">
        <v>44496</v>
      </c>
      <c r="C145" s="425">
        <v>463.43627900000001</v>
      </c>
      <c r="D145" s="338">
        <f t="shared" si="4"/>
        <v>-2.0381957227690872E-3</v>
      </c>
      <c r="G145" s="337">
        <v>44496</v>
      </c>
      <c r="H145" s="425">
        <v>18210.949218999998</v>
      </c>
      <c r="I145" s="339">
        <f t="shared" si="5"/>
        <v>-3.1448386706207643E-3</v>
      </c>
    </row>
    <row r="146" spans="2:9" x14ac:dyDescent="0.3">
      <c r="B146" s="337">
        <v>44497</v>
      </c>
      <c r="C146" s="425">
        <v>454.31997699999999</v>
      </c>
      <c r="D146" s="338">
        <f t="shared" si="4"/>
        <v>-1.9671101320921869E-2</v>
      </c>
      <c r="G146" s="337">
        <v>44497</v>
      </c>
      <c r="H146" s="425">
        <v>17857.25</v>
      </c>
      <c r="I146" s="339">
        <f t="shared" si="5"/>
        <v>-1.9422338437524944E-2</v>
      </c>
    </row>
    <row r="147" spans="2:9" x14ac:dyDescent="0.3">
      <c r="B147" s="337">
        <v>44498</v>
      </c>
      <c r="C147" s="425">
        <v>448.49151599999999</v>
      </c>
      <c r="D147" s="338">
        <f t="shared" si="4"/>
        <v>-1.2828978022245363E-2</v>
      </c>
      <c r="G147" s="337">
        <v>44498</v>
      </c>
      <c r="H147" s="425">
        <v>17671.650390999999</v>
      </c>
      <c r="I147" s="339">
        <f t="shared" si="5"/>
        <v>-1.039351574290559E-2</v>
      </c>
    </row>
    <row r="148" spans="2:9" x14ac:dyDescent="0.3">
      <c r="B148" s="337">
        <v>44501</v>
      </c>
      <c r="C148" s="425">
        <v>462.73889200000002</v>
      </c>
      <c r="D148" s="338">
        <f t="shared" si="4"/>
        <v>3.1767325560736026E-2</v>
      </c>
      <c r="G148" s="337">
        <v>44501</v>
      </c>
      <c r="H148" s="425">
        <v>17929.650390999999</v>
      </c>
      <c r="I148" s="339">
        <f t="shared" si="5"/>
        <v>1.4599655057198069E-2</v>
      </c>
    </row>
    <row r="149" spans="2:9" x14ac:dyDescent="0.3">
      <c r="B149" s="337">
        <v>44502</v>
      </c>
      <c r="C149" s="425">
        <v>461.39382899999998</v>
      </c>
      <c r="D149" s="338">
        <f t="shared" si="4"/>
        <v>-2.9067429240420273E-3</v>
      </c>
      <c r="G149" s="337">
        <v>44502</v>
      </c>
      <c r="H149" s="425">
        <v>17888.949218999998</v>
      </c>
      <c r="I149" s="339">
        <f t="shared" si="5"/>
        <v>-2.2700482782660458E-3</v>
      </c>
    </row>
    <row r="150" spans="2:9" x14ac:dyDescent="0.3">
      <c r="B150" s="337">
        <v>44503</v>
      </c>
      <c r="C150" s="425">
        <v>492.27963299999999</v>
      </c>
      <c r="D150" s="338">
        <f t="shared" si="4"/>
        <v>6.6940219089926423E-2</v>
      </c>
      <c r="G150" s="337">
        <v>44503</v>
      </c>
      <c r="H150" s="425">
        <v>17829.199218999998</v>
      </c>
      <c r="I150" s="339">
        <f t="shared" si="5"/>
        <v>-3.3400508475108781E-3</v>
      </c>
    </row>
    <row r="151" spans="2:9" x14ac:dyDescent="0.3">
      <c r="B151" s="337">
        <v>44504</v>
      </c>
      <c r="C151" s="425">
        <v>510.16348299999999</v>
      </c>
      <c r="D151" s="338">
        <f t="shared" si="4"/>
        <v>3.6328640880415985E-2</v>
      </c>
      <c r="G151" s="337">
        <v>44504</v>
      </c>
      <c r="H151" s="425">
        <v>17916.800781000002</v>
      </c>
      <c r="I151" s="339">
        <f t="shared" si="5"/>
        <v>4.9133761378721275E-3</v>
      </c>
    </row>
    <row r="152" spans="2:9" x14ac:dyDescent="0.3">
      <c r="B152" s="337">
        <v>44508</v>
      </c>
      <c r="C152" s="425">
        <v>540.00317399999994</v>
      </c>
      <c r="D152" s="338">
        <f t="shared" si="4"/>
        <v>5.8490448639186399E-2</v>
      </c>
      <c r="G152" s="337">
        <v>44508</v>
      </c>
      <c r="H152" s="425">
        <v>18068.550781000002</v>
      </c>
      <c r="I152" s="339">
        <f t="shared" si="5"/>
        <v>8.4697040423045156E-3</v>
      </c>
    </row>
    <row r="153" spans="2:9" x14ac:dyDescent="0.3">
      <c r="B153" s="337">
        <v>44509</v>
      </c>
      <c r="C153" s="425">
        <v>515.64324999999997</v>
      </c>
      <c r="D153" s="338">
        <f t="shared" si="4"/>
        <v>-4.5110705219669645E-2</v>
      </c>
      <c r="G153" s="337">
        <v>44509</v>
      </c>
      <c r="H153" s="425">
        <v>18044.25</v>
      </c>
      <c r="I153" s="339">
        <f t="shared" si="5"/>
        <v>-1.3449214214542593E-3</v>
      </c>
    </row>
    <row r="154" spans="2:9" x14ac:dyDescent="0.3">
      <c r="B154" s="337">
        <v>44510</v>
      </c>
      <c r="C154" s="425">
        <v>530.93670699999996</v>
      </c>
      <c r="D154" s="338">
        <f t="shared" si="4"/>
        <v>2.9658988069755532E-2</v>
      </c>
      <c r="G154" s="337">
        <v>44510</v>
      </c>
      <c r="H154" s="425">
        <v>18017.199218999998</v>
      </c>
      <c r="I154" s="339">
        <f t="shared" si="5"/>
        <v>-1.4991357911801062E-3</v>
      </c>
    </row>
    <row r="155" spans="2:9" x14ac:dyDescent="0.3">
      <c r="B155" s="337">
        <v>44511</v>
      </c>
      <c r="C155" s="425">
        <v>536.51605199999995</v>
      </c>
      <c r="D155" s="338">
        <f t="shared" si="4"/>
        <v>1.0508493623515802E-2</v>
      </c>
      <c r="G155" s="337">
        <v>44511</v>
      </c>
      <c r="H155" s="425">
        <v>17873.599609000001</v>
      </c>
      <c r="I155" s="339">
        <f t="shared" si="5"/>
        <v>-7.970140544850346E-3</v>
      </c>
    </row>
    <row r="156" spans="2:9" x14ac:dyDescent="0.3">
      <c r="B156" s="337">
        <v>44512</v>
      </c>
      <c r="C156" s="425">
        <v>530.58795199999997</v>
      </c>
      <c r="D156" s="338">
        <f t="shared" si="4"/>
        <v>-1.1049250023184687E-2</v>
      </c>
      <c r="G156" s="337">
        <v>44512</v>
      </c>
      <c r="H156" s="425">
        <v>18102.75</v>
      </c>
      <c r="I156" s="339">
        <f t="shared" si="5"/>
        <v>1.2820606705580051E-2</v>
      </c>
    </row>
    <row r="157" spans="2:9" x14ac:dyDescent="0.3">
      <c r="B157" s="337">
        <v>44515</v>
      </c>
      <c r="C157" s="425">
        <v>535.42010500000004</v>
      </c>
      <c r="D157" s="338">
        <f t="shared" si="4"/>
        <v>9.1071668359330449E-3</v>
      </c>
      <c r="G157" s="337">
        <v>44515</v>
      </c>
      <c r="H157" s="425">
        <v>18109.449218999998</v>
      </c>
      <c r="I157" s="339">
        <f t="shared" si="5"/>
        <v>3.7006637113146112E-4</v>
      </c>
    </row>
    <row r="158" spans="2:9" x14ac:dyDescent="0.3">
      <c r="B158" s="337">
        <v>44516</v>
      </c>
      <c r="C158" s="425">
        <v>516.83886700000005</v>
      </c>
      <c r="D158" s="338">
        <f t="shared" si="4"/>
        <v>-3.4704034881170576E-2</v>
      </c>
      <c r="G158" s="337">
        <v>44516</v>
      </c>
      <c r="H158" s="425">
        <v>17999.199218999998</v>
      </c>
      <c r="I158" s="339">
        <f t="shared" si="5"/>
        <v>-6.0879819516723721E-3</v>
      </c>
    </row>
    <row r="159" spans="2:9" x14ac:dyDescent="0.3">
      <c r="B159" s="337">
        <v>44517</v>
      </c>
      <c r="C159" s="425">
        <v>506.975281</v>
      </c>
      <c r="D159" s="338">
        <f t="shared" si="4"/>
        <v>-1.9084450937781439E-2</v>
      </c>
      <c r="G159" s="337">
        <v>44517</v>
      </c>
      <c r="H159" s="425">
        <v>17898.650390999999</v>
      </c>
      <c r="I159" s="339">
        <f t="shared" si="5"/>
        <v>-5.5862945221395455E-3</v>
      </c>
    </row>
    <row r="160" spans="2:9" x14ac:dyDescent="0.3">
      <c r="B160" s="337">
        <v>44518</v>
      </c>
      <c r="C160" s="425">
        <v>490.63571200000001</v>
      </c>
      <c r="D160" s="338">
        <f t="shared" si="4"/>
        <v>-3.2229518109384903E-2</v>
      </c>
      <c r="G160" s="337">
        <v>44518</v>
      </c>
      <c r="H160" s="425">
        <v>17764.800781000002</v>
      </c>
      <c r="I160" s="339">
        <f t="shared" si="5"/>
        <v>-7.478195678222832E-3</v>
      </c>
    </row>
    <row r="161" spans="2:9" x14ac:dyDescent="0.3">
      <c r="B161" s="337">
        <v>44522</v>
      </c>
      <c r="C161" s="425">
        <v>496.563782</v>
      </c>
      <c r="D161" s="338">
        <f t="shared" si="4"/>
        <v>1.2082426645698474E-2</v>
      </c>
      <c r="G161" s="337">
        <v>44522</v>
      </c>
      <c r="H161" s="425">
        <v>17416.550781000002</v>
      </c>
      <c r="I161" s="339">
        <f t="shared" si="5"/>
        <v>-1.9603372100432725E-2</v>
      </c>
    </row>
    <row r="162" spans="2:9" x14ac:dyDescent="0.3">
      <c r="B162" s="337">
        <v>44523</v>
      </c>
      <c r="C162" s="425">
        <v>485.255585</v>
      </c>
      <c r="D162" s="338">
        <f t="shared" si="4"/>
        <v>-2.2772899292925142E-2</v>
      </c>
      <c r="G162" s="337">
        <v>44523</v>
      </c>
      <c r="H162" s="425">
        <v>17503.349609000001</v>
      </c>
      <c r="I162" s="339">
        <f t="shared" si="5"/>
        <v>4.9836979256931979E-3</v>
      </c>
    </row>
    <row r="163" spans="2:9" x14ac:dyDescent="0.3">
      <c r="B163" s="337">
        <v>44524</v>
      </c>
      <c r="C163" s="425">
        <v>485.006531</v>
      </c>
      <c r="D163" s="338">
        <f t="shared" si="4"/>
        <v>-5.1324293361820761E-4</v>
      </c>
      <c r="G163" s="337">
        <v>44524</v>
      </c>
      <c r="H163" s="425">
        <v>17415.050781000002</v>
      </c>
      <c r="I163" s="339">
        <f t="shared" si="5"/>
        <v>-5.0446817307812086E-3</v>
      </c>
    </row>
    <row r="164" spans="2:9" x14ac:dyDescent="0.3">
      <c r="B164" s="337">
        <v>44525</v>
      </c>
      <c r="C164" s="425">
        <v>512.953125</v>
      </c>
      <c r="D164" s="338">
        <f t="shared" si="4"/>
        <v>5.7621067374863832E-2</v>
      </c>
      <c r="G164" s="337">
        <v>44525</v>
      </c>
      <c r="H164" s="425">
        <v>17536.25</v>
      </c>
      <c r="I164" s="339">
        <f t="shared" si="5"/>
        <v>6.9594525174871968E-3</v>
      </c>
    </row>
    <row r="165" spans="2:9" x14ac:dyDescent="0.3">
      <c r="B165" s="337">
        <v>44526</v>
      </c>
      <c r="C165" s="425">
        <v>510.31298800000002</v>
      </c>
      <c r="D165" s="338">
        <f t="shared" si="4"/>
        <v>-5.1469361844710404E-3</v>
      </c>
      <c r="G165" s="337">
        <v>44526</v>
      </c>
      <c r="H165" s="425">
        <v>17026.449218999998</v>
      </c>
      <c r="I165" s="339">
        <f t="shared" si="5"/>
        <v>-2.9071254173497874E-2</v>
      </c>
    </row>
    <row r="166" spans="2:9" x14ac:dyDescent="0.3">
      <c r="B166" s="337">
        <v>44529</v>
      </c>
      <c r="C166" s="425">
        <v>488.344177</v>
      </c>
      <c r="D166" s="338">
        <f t="shared" si="4"/>
        <v>-4.3049680326772366E-2</v>
      </c>
      <c r="G166" s="337">
        <v>44529</v>
      </c>
      <c r="H166" s="425">
        <v>17053.949218999998</v>
      </c>
      <c r="I166" s="339">
        <f t="shared" si="5"/>
        <v>1.615134174265398E-3</v>
      </c>
    </row>
    <row r="167" spans="2:9" x14ac:dyDescent="0.3">
      <c r="B167" s="337">
        <v>44530</v>
      </c>
      <c r="C167" s="425">
        <v>525.20788600000003</v>
      </c>
      <c r="D167" s="338">
        <f t="shared" si="4"/>
        <v>7.5487147663890308E-2</v>
      </c>
      <c r="G167" s="337">
        <v>44530</v>
      </c>
      <c r="H167" s="425">
        <v>16983.199218999998</v>
      </c>
      <c r="I167" s="339">
        <f t="shared" si="5"/>
        <v>-4.1485991949111733E-3</v>
      </c>
    </row>
    <row r="168" spans="2:9" x14ac:dyDescent="0.3">
      <c r="B168" s="337">
        <v>44531</v>
      </c>
      <c r="C168" s="425">
        <v>509.31664999999998</v>
      </c>
      <c r="D168" s="338">
        <f t="shared" si="4"/>
        <v>-3.0257039971406718E-2</v>
      </c>
      <c r="G168" s="337">
        <v>44531</v>
      </c>
      <c r="H168" s="425">
        <v>17166.900390999999</v>
      </c>
      <c r="I168" s="339">
        <f t="shared" si="5"/>
        <v>1.0816641177622488E-2</v>
      </c>
    </row>
    <row r="169" spans="2:9" x14ac:dyDescent="0.3">
      <c r="B169" s="337">
        <v>44532</v>
      </c>
      <c r="C169" s="425">
        <v>507.62286399999999</v>
      </c>
      <c r="D169" s="338">
        <f t="shared" si="4"/>
        <v>-3.3256050042738128E-3</v>
      </c>
      <c r="G169" s="337">
        <v>44532</v>
      </c>
      <c r="H169" s="425">
        <v>17401.650390999999</v>
      </c>
      <c r="I169" s="339">
        <f t="shared" si="5"/>
        <v>1.3674571102135102E-2</v>
      </c>
    </row>
    <row r="170" spans="2:9" x14ac:dyDescent="0.3">
      <c r="B170" s="337">
        <v>44533</v>
      </c>
      <c r="C170" s="425">
        <v>506.72619600000002</v>
      </c>
      <c r="D170" s="338">
        <f t="shared" si="4"/>
        <v>-1.7664058567700147E-3</v>
      </c>
      <c r="G170" s="337">
        <v>44533</v>
      </c>
      <c r="H170" s="425">
        <v>17196.699218999998</v>
      </c>
      <c r="I170" s="339">
        <f t="shared" si="5"/>
        <v>-1.1777685874323707E-2</v>
      </c>
    </row>
    <row r="171" spans="2:9" x14ac:dyDescent="0.3">
      <c r="B171" s="337">
        <v>44536</v>
      </c>
      <c r="C171" s="425">
        <v>508.61920199999997</v>
      </c>
      <c r="D171" s="338">
        <f t="shared" si="4"/>
        <v>3.7357571306615434E-3</v>
      </c>
      <c r="G171" s="337">
        <v>44536</v>
      </c>
      <c r="H171" s="425">
        <v>16912.25</v>
      </c>
      <c r="I171" s="339">
        <f t="shared" si="5"/>
        <v>-1.6540919590296799E-2</v>
      </c>
    </row>
    <row r="172" spans="2:9" x14ac:dyDescent="0.3">
      <c r="B172" s="337">
        <v>44537</v>
      </c>
      <c r="C172" s="425">
        <v>509.466095</v>
      </c>
      <c r="D172" s="338">
        <f t="shared" si="4"/>
        <v>1.6650826328810098E-3</v>
      </c>
      <c r="G172" s="337">
        <v>44537</v>
      </c>
      <c r="H172" s="425">
        <v>17176.699218999998</v>
      </c>
      <c r="I172" s="339">
        <f t="shared" si="5"/>
        <v>1.5636548596431377E-2</v>
      </c>
    </row>
    <row r="173" spans="2:9" x14ac:dyDescent="0.3">
      <c r="B173" s="337">
        <v>44538</v>
      </c>
      <c r="C173" s="425">
        <v>528.34625200000005</v>
      </c>
      <c r="D173" s="338">
        <f t="shared" si="4"/>
        <v>3.7058711433976876E-2</v>
      </c>
      <c r="G173" s="337">
        <v>44538</v>
      </c>
      <c r="H173" s="425">
        <v>17469.75</v>
      </c>
      <c r="I173" s="339">
        <f t="shared" si="5"/>
        <v>1.7060948513078822E-2</v>
      </c>
    </row>
    <row r="174" spans="2:9" x14ac:dyDescent="0.3">
      <c r="B174" s="337">
        <v>44539</v>
      </c>
      <c r="C174" s="425">
        <v>527.89788799999997</v>
      </c>
      <c r="D174" s="338">
        <f t="shared" si="4"/>
        <v>-8.4861773562860954E-4</v>
      </c>
      <c r="G174" s="337">
        <v>44539</v>
      </c>
      <c r="H174" s="425">
        <v>17516.849609000001</v>
      </c>
      <c r="I174" s="339">
        <f t="shared" si="5"/>
        <v>2.6960665722177701E-3</v>
      </c>
    </row>
    <row r="175" spans="2:9" x14ac:dyDescent="0.3">
      <c r="B175" s="337">
        <v>44540</v>
      </c>
      <c r="C175" s="425">
        <v>517.53619400000002</v>
      </c>
      <c r="D175" s="338">
        <f t="shared" si="4"/>
        <v>-1.9628216432644563E-2</v>
      </c>
      <c r="G175" s="337">
        <v>44540</v>
      </c>
      <c r="H175" s="425">
        <v>17511.300781000002</v>
      </c>
      <c r="I175" s="339">
        <f t="shared" si="5"/>
        <v>-3.1677088767989581E-4</v>
      </c>
    </row>
    <row r="176" spans="2:9" x14ac:dyDescent="0.3">
      <c r="B176" s="337">
        <v>44543</v>
      </c>
      <c r="C176" s="425">
        <v>542.14520300000004</v>
      </c>
      <c r="D176" s="338">
        <f t="shared" si="4"/>
        <v>4.7550314906091407E-2</v>
      </c>
      <c r="G176" s="337">
        <v>44543</v>
      </c>
      <c r="H176" s="425">
        <v>17368.25</v>
      </c>
      <c r="I176" s="339">
        <f t="shared" si="5"/>
        <v>-8.169055102703382E-3</v>
      </c>
    </row>
    <row r="177" spans="2:9" x14ac:dyDescent="0.3">
      <c r="B177" s="337">
        <v>44544</v>
      </c>
      <c r="C177" s="425">
        <v>554.30023200000005</v>
      </c>
      <c r="D177" s="338">
        <f t="shared" si="4"/>
        <v>2.2420246333895832E-2</v>
      </c>
      <c r="G177" s="337">
        <v>44544</v>
      </c>
      <c r="H177" s="425">
        <v>17324.900390999999</v>
      </c>
      <c r="I177" s="339">
        <f t="shared" si="5"/>
        <v>-2.4959111597311345E-3</v>
      </c>
    </row>
    <row r="178" spans="2:9" x14ac:dyDescent="0.3">
      <c r="B178" s="337">
        <v>44545</v>
      </c>
      <c r="C178" s="425">
        <v>563.01800500000002</v>
      </c>
      <c r="D178" s="338">
        <f t="shared" si="4"/>
        <v>1.5727529047831812E-2</v>
      </c>
      <c r="G178" s="337">
        <v>44545</v>
      </c>
      <c r="H178" s="425">
        <v>17221.400390999999</v>
      </c>
      <c r="I178" s="339">
        <f t="shared" si="5"/>
        <v>-5.9740603215108212E-3</v>
      </c>
    </row>
    <row r="179" spans="2:9" x14ac:dyDescent="0.3">
      <c r="B179" s="337">
        <v>44546</v>
      </c>
      <c r="C179" s="425">
        <v>602.17327899999998</v>
      </c>
      <c r="D179" s="338">
        <f t="shared" si="4"/>
        <v>6.9545331858436699E-2</v>
      </c>
      <c r="G179" s="337">
        <v>44546</v>
      </c>
      <c r="H179" s="425">
        <v>17248.400390999999</v>
      </c>
      <c r="I179" s="339">
        <f t="shared" si="5"/>
        <v>1.5678167504955542E-3</v>
      </c>
    </row>
    <row r="180" spans="2:9" x14ac:dyDescent="0.3">
      <c r="B180" s="337">
        <v>44547</v>
      </c>
      <c r="C180" s="425">
        <v>587.22851600000001</v>
      </c>
      <c r="D180" s="338">
        <f t="shared" si="4"/>
        <v>-2.4818044109858217E-2</v>
      </c>
      <c r="G180" s="337">
        <v>44547</v>
      </c>
      <c r="H180" s="425">
        <v>16985.199218999998</v>
      </c>
      <c r="I180" s="339">
        <f t="shared" si="5"/>
        <v>-1.5259453980285387E-2</v>
      </c>
    </row>
    <row r="181" spans="2:9" x14ac:dyDescent="0.3">
      <c r="B181" s="337">
        <v>44550</v>
      </c>
      <c r="C181" s="425">
        <v>582.89453100000003</v>
      </c>
      <c r="D181" s="338">
        <f t="shared" si="4"/>
        <v>-7.3804062335419696E-3</v>
      </c>
      <c r="G181" s="337">
        <v>44550</v>
      </c>
      <c r="H181" s="425">
        <v>16614.199218999998</v>
      </c>
      <c r="I181" s="339">
        <f t="shared" si="5"/>
        <v>-2.1842546279056352E-2</v>
      </c>
    </row>
    <row r="182" spans="2:9" x14ac:dyDescent="0.3">
      <c r="B182" s="337">
        <v>44551</v>
      </c>
      <c r="C182" s="425">
        <v>604.86328100000003</v>
      </c>
      <c r="D182" s="338">
        <f t="shared" si="4"/>
        <v>3.7689065228165619E-2</v>
      </c>
      <c r="G182" s="337">
        <v>44551</v>
      </c>
      <c r="H182" s="425">
        <v>16770.849609000001</v>
      </c>
      <c r="I182" s="339">
        <f t="shared" si="5"/>
        <v>9.4287054064488007E-3</v>
      </c>
    </row>
    <row r="183" spans="2:9" x14ac:dyDescent="0.3">
      <c r="B183" s="337">
        <v>44552</v>
      </c>
      <c r="C183" s="425">
        <v>606.35778800000003</v>
      </c>
      <c r="D183" s="338">
        <f t="shared" si="4"/>
        <v>2.4708178640455714E-3</v>
      </c>
      <c r="G183" s="337">
        <v>44552</v>
      </c>
      <c r="H183" s="425">
        <v>16955.449218999998</v>
      </c>
      <c r="I183" s="339">
        <f t="shared" si="5"/>
        <v>1.1007171032106466E-2</v>
      </c>
    </row>
    <row r="184" spans="2:9" x14ac:dyDescent="0.3">
      <c r="B184" s="337">
        <v>44553</v>
      </c>
      <c r="C184" s="425">
        <v>606.50726299999997</v>
      </c>
      <c r="D184" s="338">
        <f t="shared" si="4"/>
        <v>2.4651287236365782E-4</v>
      </c>
      <c r="G184" s="337">
        <v>44553</v>
      </c>
      <c r="H184" s="425">
        <v>17072.599609000001</v>
      </c>
      <c r="I184" s="339">
        <f t="shared" si="5"/>
        <v>6.9093061756644314E-3</v>
      </c>
    </row>
    <row r="185" spans="2:9" x14ac:dyDescent="0.3">
      <c r="B185" s="337">
        <v>44554</v>
      </c>
      <c r="C185" s="425">
        <v>612.63458300000002</v>
      </c>
      <c r="D185" s="338">
        <f t="shared" si="4"/>
        <v>1.0102632521978627E-2</v>
      </c>
      <c r="G185" s="337">
        <v>44554</v>
      </c>
      <c r="H185" s="425">
        <v>17003.75</v>
      </c>
      <c r="I185" s="339">
        <f t="shared" si="5"/>
        <v>-4.0327548573040328E-3</v>
      </c>
    </row>
    <row r="186" spans="2:9" x14ac:dyDescent="0.3">
      <c r="B186" s="337">
        <v>44557</v>
      </c>
      <c r="C186" s="425">
        <v>668.42828399999996</v>
      </c>
      <c r="D186" s="338">
        <f t="shared" si="4"/>
        <v>9.1071745781612146E-2</v>
      </c>
      <c r="G186" s="337">
        <v>44557</v>
      </c>
      <c r="H186" s="425">
        <v>17086.25</v>
      </c>
      <c r="I186" s="339">
        <f t="shared" si="5"/>
        <v>4.8518709108285041E-3</v>
      </c>
    </row>
    <row r="187" spans="2:9" x14ac:dyDescent="0.3">
      <c r="B187" s="337">
        <v>44558</v>
      </c>
      <c r="C187" s="425">
        <v>666.33599900000002</v>
      </c>
      <c r="D187" s="338">
        <f t="shared" si="4"/>
        <v>-3.1301562936255634E-3</v>
      </c>
      <c r="G187" s="337">
        <v>44558</v>
      </c>
      <c r="H187" s="425">
        <v>17233.25</v>
      </c>
      <c r="I187" s="339">
        <f t="shared" si="5"/>
        <v>8.6034091740434526E-3</v>
      </c>
    </row>
    <row r="188" spans="2:9" x14ac:dyDescent="0.3">
      <c r="B188" s="337">
        <v>44559</v>
      </c>
      <c r="C188" s="425">
        <v>676.24932899999999</v>
      </c>
      <c r="D188" s="338">
        <f t="shared" si="4"/>
        <v>1.487737419991908E-2</v>
      </c>
      <c r="G188" s="337">
        <v>44559</v>
      </c>
      <c r="H188" s="425">
        <v>17213.599609000001</v>
      </c>
      <c r="I188" s="339">
        <f t="shared" si="5"/>
        <v>-1.1402603107364406E-3</v>
      </c>
    </row>
    <row r="189" spans="2:9" x14ac:dyDescent="0.3">
      <c r="B189" s="337">
        <v>44560</v>
      </c>
      <c r="C189" s="425">
        <v>674.50579800000003</v>
      </c>
      <c r="D189" s="338">
        <f t="shared" si="4"/>
        <v>-2.5782369389972803E-3</v>
      </c>
      <c r="G189" s="337">
        <v>44560</v>
      </c>
      <c r="H189" s="425">
        <v>17203.949218999998</v>
      </c>
      <c r="I189" s="339">
        <f t="shared" si="5"/>
        <v>-5.6062591318539745E-4</v>
      </c>
    </row>
    <row r="190" spans="2:9" x14ac:dyDescent="0.3">
      <c r="B190" s="337">
        <v>44561</v>
      </c>
      <c r="C190" s="425">
        <v>666.83416699999998</v>
      </c>
      <c r="D190" s="338">
        <f t="shared" si="4"/>
        <v>-1.1373706531133565E-2</v>
      </c>
      <c r="G190" s="337">
        <v>44561</v>
      </c>
      <c r="H190" s="425">
        <v>17354.050781000002</v>
      </c>
      <c r="I190" s="339">
        <f t="shared" si="5"/>
        <v>8.7248317284167598E-3</v>
      </c>
    </row>
    <row r="191" spans="2:9" x14ac:dyDescent="0.3">
      <c r="B191" s="337">
        <v>44564</v>
      </c>
      <c r="C191" s="425">
        <v>702.153503</v>
      </c>
      <c r="D191" s="338">
        <f t="shared" si="4"/>
        <v>5.2965696342311075E-2</v>
      </c>
      <c r="G191" s="337">
        <v>44564</v>
      </c>
      <c r="H191" s="425">
        <v>17625.699218999998</v>
      </c>
      <c r="I191" s="339">
        <f t="shared" si="5"/>
        <v>1.5653315841244853E-2</v>
      </c>
    </row>
    <row r="192" spans="2:9" x14ac:dyDescent="0.3">
      <c r="B192" s="337">
        <v>44565</v>
      </c>
      <c r="C192" s="425">
        <v>703.79748500000005</v>
      </c>
      <c r="D192" s="338">
        <f t="shared" si="4"/>
        <v>2.3413427305796208E-3</v>
      </c>
      <c r="G192" s="337">
        <v>44565</v>
      </c>
      <c r="H192" s="425">
        <v>17805.25</v>
      </c>
      <c r="I192" s="339">
        <f t="shared" si="5"/>
        <v>1.0186874220935893E-2</v>
      </c>
    </row>
    <row r="193" spans="2:9" x14ac:dyDescent="0.3">
      <c r="B193" s="337">
        <v>44566</v>
      </c>
      <c r="C193" s="425">
        <v>703.94689900000003</v>
      </c>
      <c r="D193" s="338">
        <f t="shared" si="4"/>
        <v>2.1229686548251969E-4</v>
      </c>
      <c r="G193" s="337">
        <v>44566</v>
      </c>
      <c r="H193" s="425">
        <v>17925.25</v>
      </c>
      <c r="I193" s="339">
        <f t="shared" si="5"/>
        <v>6.7395852346920915E-3</v>
      </c>
    </row>
    <row r="194" spans="2:9" x14ac:dyDescent="0.3">
      <c r="B194" s="337">
        <v>44567</v>
      </c>
      <c r="C194" s="425">
        <v>713.21264599999995</v>
      </c>
      <c r="D194" s="338">
        <f t="shared" si="4"/>
        <v>1.3162565263320936E-2</v>
      </c>
      <c r="G194" s="337">
        <v>44567</v>
      </c>
      <c r="H194" s="425">
        <v>17745.900390999999</v>
      </c>
      <c r="I194" s="339">
        <f t="shared" si="5"/>
        <v>-1.0005417441876774E-2</v>
      </c>
    </row>
    <row r="195" spans="2:9" x14ac:dyDescent="0.3">
      <c r="B195" s="337">
        <v>44568</v>
      </c>
      <c r="C195" s="425">
        <v>713.11303699999996</v>
      </c>
      <c r="D195" s="338">
        <f t="shared" si="4"/>
        <v>-1.3966241423035708E-4</v>
      </c>
      <c r="G195" s="337">
        <v>44568</v>
      </c>
      <c r="H195" s="425">
        <v>17812.699218999998</v>
      </c>
      <c r="I195" s="339">
        <f t="shared" si="5"/>
        <v>3.7641836440081011E-3</v>
      </c>
    </row>
    <row r="196" spans="2:9" x14ac:dyDescent="0.3">
      <c r="B196" s="337">
        <v>44571</v>
      </c>
      <c r="C196" s="425">
        <v>726.61309800000004</v>
      </c>
      <c r="D196" s="338">
        <f t="shared" si="4"/>
        <v>1.893116560705943E-2</v>
      </c>
      <c r="G196" s="337">
        <v>44571</v>
      </c>
      <c r="H196" s="425">
        <v>18003.300781000002</v>
      </c>
      <c r="I196" s="339">
        <f t="shared" si="5"/>
        <v>1.0700318893651861E-2</v>
      </c>
    </row>
    <row r="197" spans="2:9" x14ac:dyDescent="0.3">
      <c r="B197" s="337">
        <v>44572</v>
      </c>
      <c r="C197" s="425">
        <v>730.15002400000003</v>
      </c>
      <c r="D197" s="338">
        <f t="shared" ref="D197:D249" si="6">C197/C196-1</f>
        <v>4.8676881957334661E-3</v>
      </c>
      <c r="G197" s="337">
        <v>44572</v>
      </c>
      <c r="H197" s="425">
        <v>18055.75</v>
      </c>
      <c r="I197" s="339">
        <f t="shared" si="5"/>
        <v>2.9133112665289396E-3</v>
      </c>
    </row>
    <row r="198" spans="2:9" x14ac:dyDescent="0.3">
      <c r="B198" s="337">
        <v>44573</v>
      </c>
      <c r="C198" s="425">
        <v>742.853027</v>
      </c>
      <c r="D198" s="338">
        <f t="shared" si="6"/>
        <v>1.7397798510515372E-2</v>
      </c>
      <c r="G198" s="337">
        <v>44573</v>
      </c>
      <c r="H198" s="425">
        <v>18212.349609000001</v>
      </c>
      <c r="I198" s="339">
        <f t="shared" ref="I198:I249" si="7">H198/H197-1</f>
        <v>8.673115711061552E-3</v>
      </c>
    </row>
    <row r="199" spans="2:9" x14ac:dyDescent="0.3">
      <c r="B199" s="337">
        <v>44574</v>
      </c>
      <c r="C199" s="425">
        <v>736.97479199999998</v>
      </c>
      <c r="D199" s="338">
        <f t="shared" si="6"/>
        <v>-7.9130524967222504E-3</v>
      </c>
      <c r="G199" s="337">
        <v>44574</v>
      </c>
      <c r="H199" s="425">
        <v>18257.800781000002</v>
      </c>
      <c r="I199" s="339">
        <f t="shared" si="7"/>
        <v>2.4956237375073353E-3</v>
      </c>
    </row>
    <row r="200" spans="2:9" x14ac:dyDescent="0.3">
      <c r="B200" s="337">
        <v>44575</v>
      </c>
      <c r="C200" s="425">
        <v>753.56341599999996</v>
      </c>
      <c r="D200" s="338">
        <f t="shared" si="6"/>
        <v>2.2509079252197806E-2</v>
      </c>
      <c r="G200" s="337">
        <v>44575</v>
      </c>
      <c r="H200" s="425">
        <v>18255.75</v>
      </c>
      <c r="I200" s="339">
        <f t="shared" si="7"/>
        <v>-1.1232355005952321E-4</v>
      </c>
    </row>
    <row r="201" spans="2:9" x14ac:dyDescent="0.3">
      <c r="B201" s="337">
        <v>44578</v>
      </c>
      <c r="C201" s="425">
        <v>756.70184300000005</v>
      </c>
      <c r="D201" s="338">
        <f t="shared" si="6"/>
        <v>4.1647815344583172E-3</v>
      </c>
      <c r="G201" s="337">
        <v>44578</v>
      </c>
      <c r="H201" s="425">
        <v>18308.099609000001</v>
      </c>
      <c r="I201" s="339">
        <f t="shared" si="7"/>
        <v>2.8675682456211771E-3</v>
      </c>
    </row>
    <row r="202" spans="2:9" x14ac:dyDescent="0.3">
      <c r="B202" s="337">
        <v>44579</v>
      </c>
      <c r="C202" s="425">
        <v>732.44158900000002</v>
      </c>
      <c r="D202" s="338">
        <f t="shared" si="6"/>
        <v>-3.2060519244698105E-2</v>
      </c>
      <c r="G202" s="337">
        <v>44579</v>
      </c>
      <c r="H202" s="425">
        <v>18113.050781000002</v>
      </c>
      <c r="I202" s="339">
        <f t="shared" si="7"/>
        <v>-1.0653690561313933E-2</v>
      </c>
    </row>
    <row r="203" spans="2:9" x14ac:dyDescent="0.3">
      <c r="B203" s="337">
        <v>44580</v>
      </c>
      <c r="C203" s="425">
        <v>741.15930200000003</v>
      </c>
      <c r="D203" s="338">
        <f t="shared" si="6"/>
        <v>1.1902263785843026E-2</v>
      </c>
      <c r="G203" s="337">
        <v>44580</v>
      </c>
      <c r="H203" s="425">
        <v>17938.400390999999</v>
      </c>
      <c r="I203" s="339">
        <f t="shared" si="7"/>
        <v>-9.6422403995689576E-3</v>
      </c>
    </row>
    <row r="204" spans="2:9" x14ac:dyDescent="0.3">
      <c r="B204" s="337">
        <v>44581</v>
      </c>
      <c r="C204" s="425">
        <v>734.384277</v>
      </c>
      <c r="D204" s="338">
        <f t="shared" si="6"/>
        <v>-9.1411184906102783E-3</v>
      </c>
      <c r="G204" s="337">
        <v>44581</v>
      </c>
      <c r="H204" s="425">
        <v>17757</v>
      </c>
      <c r="I204" s="339">
        <f t="shared" si="7"/>
        <v>-1.0112406181490452E-2</v>
      </c>
    </row>
    <row r="205" spans="2:9" x14ac:dyDescent="0.3">
      <c r="B205" s="337">
        <v>44582</v>
      </c>
      <c r="C205" s="425">
        <v>704.09637499999997</v>
      </c>
      <c r="D205" s="338">
        <f t="shared" si="6"/>
        <v>-4.1242579598419149E-2</v>
      </c>
      <c r="G205" s="337">
        <v>44582</v>
      </c>
      <c r="H205" s="425">
        <v>17617.150390999999</v>
      </c>
      <c r="I205" s="339">
        <f t="shared" si="7"/>
        <v>-7.8757452835501729E-3</v>
      </c>
    </row>
    <row r="206" spans="2:9" x14ac:dyDescent="0.3">
      <c r="B206" s="337">
        <v>44585</v>
      </c>
      <c r="C206" s="425">
        <v>639.83398399999999</v>
      </c>
      <c r="D206" s="338">
        <f t="shared" si="6"/>
        <v>-9.1269310966130113E-2</v>
      </c>
      <c r="G206" s="337">
        <v>44585</v>
      </c>
      <c r="H206" s="425">
        <v>17149.099609000001</v>
      </c>
      <c r="I206" s="339">
        <f t="shared" si="7"/>
        <v>-2.656790522939001E-2</v>
      </c>
    </row>
    <row r="207" spans="2:9" x14ac:dyDescent="0.3">
      <c r="B207" s="337">
        <v>44586</v>
      </c>
      <c r="C207" s="425">
        <v>638.83764599999995</v>
      </c>
      <c r="D207" s="338">
        <f t="shared" si="6"/>
        <v>-1.5571820580259077E-3</v>
      </c>
      <c r="G207" s="337">
        <v>44586</v>
      </c>
      <c r="H207" s="425">
        <v>17277.949218999998</v>
      </c>
      <c r="I207" s="339">
        <f t="shared" si="7"/>
        <v>7.513491258303473E-3</v>
      </c>
    </row>
    <row r="208" spans="2:9" x14ac:dyDescent="0.3">
      <c r="B208" s="337">
        <v>44588</v>
      </c>
      <c r="C208" s="425">
        <v>636.09777799999995</v>
      </c>
      <c r="D208" s="338">
        <f t="shared" si="6"/>
        <v>-4.288833034739481E-3</v>
      </c>
      <c r="G208" s="337">
        <v>44588</v>
      </c>
      <c r="H208" s="425">
        <v>17110.150390999999</v>
      </c>
      <c r="I208" s="339">
        <f t="shared" si="7"/>
        <v>-9.7117329072524683E-3</v>
      </c>
    </row>
    <row r="209" spans="2:9" x14ac:dyDescent="0.3">
      <c r="B209" s="337">
        <v>44589</v>
      </c>
      <c r="C209" s="425">
        <v>653.98168899999996</v>
      </c>
      <c r="D209" s="338">
        <f t="shared" si="6"/>
        <v>2.811503454112052E-2</v>
      </c>
      <c r="G209" s="337">
        <v>44589</v>
      </c>
      <c r="H209" s="425">
        <v>17101.949218999998</v>
      </c>
      <c r="I209" s="339">
        <f t="shared" si="7"/>
        <v>-4.7931618440444357E-4</v>
      </c>
    </row>
    <row r="210" spans="2:9" x14ac:dyDescent="0.3">
      <c r="B210" s="337">
        <v>44592</v>
      </c>
      <c r="C210" s="425">
        <v>668.27880900000002</v>
      </c>
      <c r="D210" s="338">
        <f t="shared" si="6"/>
        <v>2.1861651848176011E-2</v>
      </c>
      <c r="G210" s="337">
        <v>44592</v>
      </c>
      <c r="H210" s="425">
        <v>17339.849609000001</v>
      </c>
      <c r="I210" s="339">
        <f t="shared" si="7"/>
        <v>1.3910717834181074E-2</v>
      </c>
    </row>
    <row r="211" spans="2:9" x14ac:dyDescent="0.3">
      <c r="B211" s="337">
        <v>44593</v>
      </c>
      <c r="C211" s="425">
        <v>685.26599099999999</v>
      </c>
      <c r="D211" s="338">
        <f t="shared" si="6"/>
        <v>2.5419303696640139E-2</v>
      </c>
      <c r="G211" s="337">
        <v>44593</v>
      </c>
      <c r="H211" s="425">
        <v>17576.849609000001</v>
      </c>
      <c r="I211" s="339">
        <f t="shared" si="7"/>
        <v>1.3667938612165864E-2</v>
      </c>
    </row>
    <row r="212" spans="2:9" x14ac:dyDescent="0.3">
      <c r="B212" s="337">
        <v>44594</v>
      </c>
      <c r="C212" s="425">
        <v>714.10931400000004</v>
      </c>
      <c r="D212" s="338">
        <f t="shared" si="6"/>
        <v>4.2090696720421539E-2</v>
      </c>
      <c r="G212" s="337">
        <v>44594</v>
      </c>
      <c r="H212" s="425">
        <v>17780</v>
      </c>
      <c r="I212" s="339">
        <f t="shared" si="7"/>
        <v>1.1557838606981008E-2</v>
      </c>
    </row>
    <row r="213" spans="2:9" x14ac:dyDescent="0.3">
      <c r="B213" s="337">
        <v>44595</v>
      </c>
      <c r="C213" s="425">
        <v>705.04290800000001</v>
      </c>
      <c r="D213" s="338">
        <f t="shared" si="6"/>
        <v>-1.2696103834881511E-2</v>
      </c>
      <c r="G213" s="337">
        <v>44595</v>
      </c>
      <c r="H213" s="425">
        <v>17560.199218999998</v>
      </c>
      <c r="I213" s="339">
        <f t="shared" si="7"/>
        <v>-1.2362248650168772E-2</v>
      </c>
    </row>
    <row r="214" spans="2:9" x14ac:dyDescent="0.3">
      <c r="B214" s="337">
        <v>44596</v>
      </c>
      <c r="C214" s="425">
        <v>712.66467299999999</v>
      </c>
      <c r="D214" s="338">
        <f t="shared" si="6"/>
        <v>1.081035624004878E-2</v>
      </c>
      <c r="G214" s="337">
        <v>44596</v>
      </c>
      <c r="H214" s="425">
        <v>17516.300781000002</v>
      </c>
      <c r="I214" s="339">
        <f t="shared" si="7"/>
        <v>-2.4998826865528789E-3</v>
      </c>
    </row>
    <row r="215" spans="2:9" x14ac:dyDescent="0.3">
      <c r="B215" s="337">
        <v>44599</v>
      </c>
      <c r="C215" s="425">
        <v>689.25122099999999</v>
      </c>
      <c r="D215" s="338">
        <f t="shared" si="6"/>
        <v>-3.2853392187155661E-2</v>
      </c>
      <c r="G215" s="337">
        <v>44599</v>
      </c>
      <c r="H215" s="425">
        <v>17213.599609000001</v>
      </c>
      <c r="I215" s="339">
        <f t="shared" si="7"/>
        <v>-1.7281112935006337E-2</v>
      </c>
    </row>
    <row r="216" spans="2:9" x14ac:dyDescent="0.3">
      <c r="B216" s="337">
        <v>44600</v>
      </c>
      <c r="C216" s="425">
        <v>655.725281</v>
      </c>
      <c r="D216" s="338">
        <f t="shared" si="6"/>
        <v>-4.864110353168305E-2</v>
      </c>
      <c r="G216" s="337">
        <v>44600</v>
      </c>
      <c r="H216" s="425">
        <v>17266.75</v>
      </c>
      <c r="I216" s="339">
        <f t="shared" si="7"/>
        <v>3.0876976464706551E-3</v>
      </c>
    </row>
    <row r="217" spans="2:9" x14ac:dyDescent="0.3">
      <c r="B217" s="337">
        <v>44601</v>
      </c>
      <c r="C217" s="425">
        <v>658.31561299999998</v>
      </c>
      <c r="D217" s="338">
        <f t="shared" si="6"/>
        <v>3.9503311448503275E-3</v>
      </c>
      <c r="G217" s="337">
        <v>44601</v>
      </c>
      <c r="H217" s="425">
        <v>17463.800781000002</v>
      </c>
      <c r="I217" s="339">
        <f t="shared" si="7"/>
        <v>1.141215231586723E-2</v>
      </c>
    </row>
    <row r="218" spans="2:9" x14ac:dyDescent="0.3">
      <c r="B218" s="337">
        <v>44602</v>
      </c>
      <c r="C218" s="425">
        <v>640.28234899999995</v>
      </c>
      <c r="D218" s="338">
        <f t="shared" si="6"/>
        <v>-2.7393037084174399E-2</v>
      </c>
      <c r="G218" s="337">
        <v>44602</v>
      </c>
      <c r="H218" s="425">
        <v>17605.849609000001</v>
      </c>
      <c r="I218" s="339">
        <f t="shared" si="7"/>
        <v>8.1339010780827614E-3</v>
      </c>
    </row>
    <row r="219" spans="2:9" x14ac:dyDescent="0.3">
      <c r="B219" s="337">
        <v>44603</v>
      </c>
      <c r="C219" s="425">
        <v>641.97607400000004</v>
      </c>
      <c r="D219" s="338">
        <f t="shared" si="6"/>
        <v>2.6452782942483211E-3</v>
      </c>
      <c r="G219" s="337">
        <v>44603</v>
      </c>
      <c r="H219" s="425">
        <v>17374.75</v>
      </c>
      <c r="I219" s="339">
        <f t="shared" si="7"/>
        <v>-1.3126296891793565E-2</v>
      </c>
    </row>
    <row r="220" spans="2:9" x14ac:dyDescent="0.3">
      <c r="B220" s="337">
        <v>44606</v>
      </c>
      <c r="C220" s="425">
        <v>636.39672900000005</v>
      </c>
      <c r="D220" s="338">
        <f t="shared" si="6"/>
        <v>-8.6908924272464105E-3</v>
      </c>
      <c r="G220" s="337">
        <v>44606</v>
      </c>
      <c r="H220" s="425">
        <v>16842.800781000002</v>
      </c>
      <c r="I220" s="339">
        <f t="shared" si="7"/>
        <v>-3.0616222909682023E-2</v>
      </c>
    </row>
    <row r="221" spans="2:9" x14ac:dyDescent="0.3">
      <c r="B221" s="337">
        <v>44607</v>
      </c>
      <c r="C221" s="425">
        <v>657.41894500000001</v>
      </c>
      <c r="D221" s="338">
        <f t="shared" si="6"/>
        <v>3.3033193041443143E-2</v>
      </c>
      <c r="G221" s="337">
        <v>44607</v>
      </c>
      <c r="H221" s="425">
        <v>17352.449218999998</v>
      </c>
      <c r="I221" s="339">
        <f t="shared" si="7"/>
        <v>3.0259126414112769E-2</v>
      </c>
    </row>
    <row r="222" spans="2:9" x14ac:dyDescent="0.3">
      <c r="B222" s="337">
        <v>44608</v>
      </c>
      <c r="C222" s="425">
        <v>672.86187700000005</v>
      </c>
      <c r="D222" s="338">
        <f t="shared" si="6"/>
        <v>2.3490244869654786E-2</v>
      </c>
      <c r="G222" s="337">
        <v>44608</v>
      </c>
      <c r="H222" s="425">
        <v>17322.199218999998</v>
      </c>
      <c r="I222" s="339">
        <f t="shared" si="7"/>
        <v>-1.7432697608402714E-3</v>
      </c>
    </row>
    <row r="223" spans="2:9" x14ac:dyDescent="0.3">
      <c r="B223" s="337">
        <v>44609</v>
      </c>
      <c r="C223" s="425">
        <v>660.95593299999996</v>
      </c>
      <c r="D223" s="338">
        <f t="shared" si="6"/>
        <v>-1.769448442090904E-2</v>
      </c>
      <c r="G223" s="337">
        <v>44609</v>
      </c>
      <c r="H223" s="425">
        <v>17304.599609000001</v>
      </c>
      <c r="I223" s="339">
        <f t="shared" si="7"/>
        <v>-1.016014755256589E-3</v>
      </c>
    </row>
    <row r="224" spans="2:9" x14ac:dyDescent="0.3">
      <c r="B224" s="337">
        <v>44610</v>
      </c>
      <c r="C224" s="425">
        <v>645.56280500000003</v>
      </c>
      <c r="D224" s="338">
        <f t="shared" si="6"/>
        <v>-2.3289189538147181E-2</v>
      </c>
      <c r="G224" s="337">
        <v>44610</v>
      </c>
      <c r="H224" s="425">
        <v>17276.300781000002</v>
      </c>
      <c r="I224" s="339">
        <f t="shared" si="7"/>
        <v>-1.6353356124623186E-3</v>
      </c>
    </row>
    <row r="225" spans="2:9" x14ac:dyDescent="0.3">
      <c r="B225" s="337">
        <v>44613</v>
      </c>
      <c r="C225" s="425">
        <v>657.86724900000002</v>
      </c>
      <c r="D225" s="338">
        <f t="shared" si="6"/>
        <v>1.9060026235557359E-2</v>
      </c>
      <c r="G225" s="337">
        <v>44613</v>
      </c>
      <c r="H225" s="425">
        <v>17206.650390999999</v>
      </c>
      <c r="I225" s="339">
        <f t="shared" si="7"/>
        <v>-4.0315569219888658E-3</v>
      </c>
    </row>
    <row r="226" spans="2:9" x14ac:dyDescent="0.3">
      <c r="B226" s="337">
        <v>44614</v>
      </c>
      <c r="C226" s="425">
        <v>639.53509499999996</v>
      </c>
      <c r="D226" s="338">
        <f t="shared" si="6"/>
        <v>-2.7866038365439327E-2</v>
      </c>
      <c r="G226" s="337">
        <v>44614</v>
      </c>
      <c r="H226" s="425">
        <v>17092.199218999998</v>
      </c>
      <c r="I226" s="339">
        <f t="shared" si="7"/>
        <v>-6.6515660747000771E-3</v>
      </c>
    </row>
    <row r="227" spans="2:9" x14ac:dyDescent="0.3">
      <c r="B227" s="337">
        <v>44615</v>
      </c>
      <c r="C227" s="425">
        <v>651.88940400000001</v>
      </c>
      <c r="D227" s="338">
        <f t="shared" si="6"/>
        <v>1.9317640418154092E-2</v>
      </c>
      <c r="G227" s="337">
        <v>44615</v>
      </c>
      <c r="H227" s="425">
        <v>17063.25</v>
      </c>
      <c r="I227" s="339">
        <f t="shared" si="7"/>
        <v>-1.6937094301954225E-3</v>
      </c>
    </row>
    <row r="228" spans="2:9" x14ac:dyDescent="0.3">
      <c r="B228" s="337">
        <v>44616</v>
      </c>
      <c r="C228" s="425">
        <v>597.39093000000003</v>
      </c>
      <c r="D228" s="338">
        <f t="shared" si="6"/>
        <v>-8.3600797413789563E-2</v>
      </c>
      <c r="G228" s="337">
        <v>44616</v>
      </c>
      <c r="H228" s="425">
        <v>16247.950194999999</v>
      </c>
      <c r="I228" s="339">
        <f t="shared" si="7"/>
        <v>-4.7781038489150718E-2</v>
      </c>
    </row>
    <row r="229" spans="2:9" x14ac:dyDescent="0.3">
      <c r="B229" s="337">
        <v>44617</v>
      </c>
      <c r="C229" s="425">
        <v>609.24707000000001</v>
      </c>
      <c r="D229" s="338">
        <f t="shared" si="6"/>
        <v>1.9846534998447352E-2</v>
      </c>
      <c r="G229" s="337">
        <v>44617</v>
      </c>
      <c r="H229" s="425">
        <v>16658.400390999999</v>
      </c>
      <c r="I229" s="339">
        <f t="shared" si="7"/>
        <v>2.5261660152448462E-2</v>
      </c>
    </row>
    <row r="230" spans="2:9" x14ac:dyDescent="0.3">
      <c r="B230" s="337">
        <v>44620</v>
      </c>
      <c r="C230" s="425">
        <v>630.07012899999995</v>
      </c>
      <c r="D230" s="338">
        <f t="shared" si="6"/>
        <v>3.4178349023492149E-2</v>
      </c>
      <c r="G230" s="337">
        <v>44620</v>
      </c>
      <c r="H230" s="425">
        <v>16793.900390999999</v>
      </c>
      <c r="I230" s="339">
        <f t="shared" si="7"/>
        <v>8.134034290183445E-3</v>
      </c>
    </row>
    <row r="231" spans="2:9" x14ac:dyDescent="0.3">
      <c r="B231" s="337">
        <v>44622</v>
      </c>
      <c r="C231" s="425">
        <v>612.68438700000002</v>
      </c>
      <c r="D231" s="338">
        <f t="shared" si="6"/>
        <v>-2.7593344295806066E-2</v>
      </c>
      <c r="G231" s="337">
        <v>44622</v>
      </c>
      <c r="H231" s="425">
        <v>16605.949218999998</v>
      </c>
      <c r="I231" s="339">
        <f t="shared" si="7"/>
        <v>-1.1191633130128942E-2</v>
      </c>
    </row>
    <row r="232" spans="2:9" x14ac:dyDescent="0.3">
      <c r="B232" s="337">
        <v>44623</v>
      </c>
      <c r="C232" s="425">
        <v>628.52581799999996</v>
      </c>
      <c r="D232" s="338">
        <f t="shared" si="6"/>
        <v>2.5855777193160234E-2</v>
      </c>
      <c r="G232" s="337">
        <v>44623</v>
      </c>
      <c r="H232" s="425">
        <v>16498.050781000002</v>
      </c>
      <c r="I232" s="339">
        <f t="shared" si="7"/>
        <v>-6.4975772584286995E-3</v>
      </c>
    </row>
    <row r="233" spans="2:9" x14ac:dyDescent="0.3">
      <c r="B233" s="337">
        <v>44624</v>
      </c>
      <c r="C233" s="425">
        <v>624.68994099999998</v>
      </c>
      <c r="D233" s="338">
        <f t="shared" si="6"/>
        <v>-6.1029744366045691E-3</v>
      </c>
      <c r="G233" s="337">
        <v>44624</v>
      </c>
      <c r="H233" s="425">
        <v>16245.349609000001</v>
      </c>
      <c r="I233" s="339">
        <f t="shared" si="7"/>
        <v>-1.5317032015141119E-2</v>
      </c>
    </row>
    <row r="234" spans="2:9" x14ac:dyDescent="0.3">
      <c r="B234" s="337">
        <v>44627</v>
      </c>
      <c r="C234" s="425">
        <v>591.81158400000004</v>
      </c>
      <c r="D234" s="338">
        <f t="shared" si="6"/>
        <v>-5.2631481383177747E-2</v>
      </c>
      <c r="G234" s="337">
        <v>44627</v>
      </c>
      <c r="H234" s="425">
        <v>15863.150390999999</v>
      </c>
      <c r="I234" s="339">
        <f t="shared" si="7"/>
        <v>-2.3526684694323952E-2</v>
      </c>
    </row>
    <row r="235" spans="2:9" x14ac:dyDescent="0.3">
      <c r="B235" s="337">
        <v>44628</v>
      </c>
      <c r="C235" s="425">
        <v>622.54791299999999</v>
      </c>
      <c r="D235" s="338">
        <f t="shared" si="6"/>
        <v>5.1936004348302811E-2</v>
      </c>
      <c r="G235" s="337">
        <v>44628</v>
      </c>
      <c r="H235" s="425">
        <v>16013.450194999999</v>
      </c>
      <c r="I235" s="339">
        <f t="shared" si="7"/>
        <v>9.4747764659202094E-3</v>
      </c>
    </row>
    <row r="236" spans="2:9" x14ac:dyDescent="0.3">
      <c r="B236" s="337">
        <v>44629</v>
      </c>
      <c r="C236" s="425">
        <v>636.04797399999995</v>
      </c>
      <c r="D236" s="338">
        <f t="shared" si="6"/>
        <v>2.1685175900669984E-2</v>
      </c>
      <c r="G236" s="337">
        <v>44629</v>
      </c>
      <c r="H236" s="425">
        <v>16345.349609000001</v>
      </c>
      <c r="I236" s="339">
        <f t="shared" si="7"/>
        <v>2.0726290084795984E-2</v>
      </c>
    </row>
    <row r="237" spans="2:9" x14ac:dyDescent="0.3">
      <c r="B237" s="337">
        <v>44630</v>
      </c>
      <c r="C237" s="425">
        <v>635.35058600000002</v>
      </c>
      <c r="D237" s="338">
        <f t="shared" si="6"/>
        <v>-1.0964393072651069E-3</v>
      </c>
      <c r="G237" s="337">
        <v>44630</v>
      </c>
      <c r="H237" s="425">
        <v>16594.900390999999</v>
      </c>
      <c r="I237" s="339">
        <f t="shared" si="7"/>
        <v>1.5267387236709284E-2</v>
      </c>
    </row>
    <row r="238" spans="2:9" x14ac:dyDescent="0.3">
      <c r="B238" s="337">
        <v>44631</v>
      </c>
      <c r="C238" s="425">
        <v>637.89123500000005</v>
      </c>
      <c r="D238" s="338">
        <f t="shared" si="6"/>
        <v>3.9988142861333564E-3</v>
      </c>
      <c r="G238" s="337">
        <v>44631</v>
      </c>
      <c r="H238" s="425">
        <v>16630.449218999998</v>
      </c>
      <c r="I238" s="339">
        <f t="shared" si="7"/>
        <v>2.1421537437655847E-3</v>
      </c>
    </row>
    <row r="239" spans="2:9" x14ac:dyDescent="0.3">
      <c r="B239" s="337">
        <v>44634</v>
      </c>
      <c r="C239" s="425">
        <v>630.07012899999995</v>
      </c>
      <c r="D239" s="338">
        <f t="shared" si="6"/>
        <v>-1.2260877044344531E-2</v>
      </c>
      <c r="G239" s="337">
        <v>44634</v>
      </c>
      <c r="H239" s="425">
        <v>16871.300781000002</v>
      </c>
      <c r="I239" s="339">
        <f t="shared" si="7"/>
        <v>1.4482565012425175E-2</v>
      </c>
    </row>
    <row r="240" spans="2:9" x14ac:dyDescent="0.3">
      <c r="B240" s="337">
        <v>44635</v>
      </c>
      <c r="C240" s="425">
        <v>606.25817900000004</v>
      </c>
      <c r="D240" s="338">
        <f t="shared" si="6"/>
        <v>-3.7792539122259994E-2</v>
      </c>
      <c r="G240" s="337">
        <v>44635</v>
      </c>
      <c r="H240" s="425">
        <v>16663</v>
      </c>
      <c r="I240" s="339">
        <f t="shared" si="7"/>
        <v>-1.234645648867716E-2</v>
      </c>
    </row>
    <row r="241" spans="2:9" x14ac:dyDescent="0.3">
      <c r="B241" s="337">
        <v>44636</v>
      </c>
      <c r="C241" s="425">
        <v>611.73785399999997</v>
      </c>
      <c r="D241" s="338">
        <f t="shared" si="6"/>
        <v>9.0385172354101595E-3</v>
      </c>
      <c r="G241" s="337">
        <v>44636</v>
      </c>
      <c r="H241" s="425">
        <v>16975.349609000001</v>
      </c>
      <c r="I241" s="339">
        <f t="shared" si="7"/>
        <v>1.874510046210176E-2</v>
      </c>
    </row>
    <row r="242" spans="2:9" x14ac:dyDescent="0.3">
      <c r="B242" s="337">
        <v>44637</v>
      </c>
      <c r="C242" s="425">
        <v>613.88000499999998</v>
      </c>
      <c r="D242" s="338">
        <f t="shared" si="6"/>
        <v>3.5017466811855247E-3</v>
      </c>
      <c r="G242" s="337">
        <v>44637</v>
      </c>
      <c r="H242" s="425">
        <v>17287.050781000002</v>
      </c>
      <c r="I242" s="339">
        <f t="shared" si="7"/>
        <v>1.8361988364277604E-2</v>
      </c>
    </row>
    <row r="243" spans="2:9" x14ac:dyDescent="0.3">
      <c r="B243" s="337">
        <v>44641</v>
      </c>
      <c r="C243" s="425">
        <v>625.287781</v>
      </c>
      <c r="D243" s="338">
        <f t="shared" si="6"/>
        <v>1.8583071458729172E-2</v>
      </c>
      <c r="G243" s="337">
        <v>44641</v>
      </c>
      <c r="H243" s="425">
        <v>17117.599609000001</v>
      </c>
      <c r="I243" s="339">
        <f t="shared" si="7"/>
        <v>-9.8022024778363637E-3</v>
      </c>
    </row>
    <row r="244" spans="2:9" x14ac:dyDescent="0.3">
      <c r="B244" s="337">
        <v>44642</v>
      </c>
      <c r="C244" s="425">
        <v>624.83947799999999</v>
      </c>
      <c r="D244" s="338">
        <f t="shared" si="6"/>
        <v>-7.1695467850507733E-4</v>
      </c>
      <c r="G244" s="337">
        <v>44642</v>
      </c>
      <c r="H244" s="425">
        <v>17315.5</v>
      </c>
      <c r="I244" s="339">
        <f t="shared" si="7"/>
        <v>1.1561223274316301E-2</v>
      </c>
    </row>
    <row r="245" spans="2:9" x14ac:dyDescent="0.3">
      <c r="B245" s="337">
        <v>44643</v>
      </c>
      <c r="C245" s="425">
        <v>641.87640399999998</v>
      </c>
      <c r="D245" s="338">
        <f t="shared" si="6"/>
        <v>2.7266084490263243E-2</v>
      </c>
      <c r="G245" s="337">
        <v>44643</v>
      </c>
      <c r="H245" s="425">
        <v>17245.650390999999</v>
      </c>
      <c r="I245" s="339">
        <f t="shared" si="7"/>
        <v>-4.033935433571112E-3</v>
      </c>
    </row>
    <row r="246" spans="2:9" x14ac:dyDescent="0.3">
      <c r="B246" s="337">
        <v>44644</v>
      </c>
      <c r="C246" s="425">
        <v>641.32849099999999</v>
      </c>
      <c r="D246" s="338">
        <f t="shared" si="6"/>
        <v>-8.5361137531392295E-4</v>
      </c>
      <c r="G246" s="337">
        <v>44644</v>
      </c>
      <c r="H246" s="425">
        <v>17222.75</v>
      </c>
      <c r="I246" s="339">
        <f t="shared" si="7"/>
        <v>-1.3278937286094195E-3</v>
      </c>
    </row>
    <row r="247" spans="2:9" x14ac:dyDescent="0.3">
      <c r="B247" s="337">
        <v>44645</v>
      </c>
      <c r="C247" s="425">
        <v>642.57385299999999</v>
      </c>
      <c r="D247" s="338">
        <f t="shared" si="6"/>
        <v>1.9418473020871296E-3</v>
      </c>
      <c r="G247" s="337">
        <v>44645</v>
      </c>
      <c r="H247" s="425">
        <v>17153</v>
      </c>
      <c r="I247" s="339">
        <f t="shared" si="7"/>
        <v>-4.049875890900112E-3</v>
      </c>
    </row>
    <row r="248" spans="2:9" x14ac:dyDescent="0.3">
      <c r="B248" s="337">
        <v>44648</v>
      </c>
      <c r="C248" s="425">
        <v>631.96307400000001</v>
      </c>
      <c r="D248" s="338">
        <f t="shared" si="6"/>
        <v>-1.6512933027793109E-2</v>
      </c>
      <c r="G248" s="337">
        <v>44648</v>
      </c>
      <c r="H248" s="425">
        <v>17222</v>
      </c>
      <c r="I248" s="339">
        <f t="shared" si="7"/>
        <v>4.0226199498629711E-3</v>
      </c>
    </row>
    <row r="249" spans="2:9" x14ac:dyDescent="0.3">
      <c r="B249" s="337">
        <v>44649</v>
      </c>
      <c r="C249" s="425">
        <v>631.31555200000003</v>
      </c>
      <c r="D249" s="338">
        <f t="shared" si="6"/>
        <v>-1.0246199922749888E-3</v>
      </c>
      <c r="G249" s="337">
        <v>44649</v>
      </c>
      <c r="H249" s="425">
        <v>17325.300781000002</v>
      </c>
      <c r="I249" s="339">
        <f t="shared" si="7"/>
        <v>5.9981872604808473E-3</v>
      </c>
    </row>
    <row r="250" spans="2:9" ht="16.2" thickBot="1" x14ac:dyDescent="0.35">
      <c r="B250" s="346">
        <v>44650</v>
      </c>
      <c r="C250" s="430">
        <v>612.98327600000005</v>
      </c>
      <c r="D250" s="347">
        <f>C250/C249-1</f>
        <v>-2.9038213840802074E-2</v>
      </c>
      <c r="G250" s="346">
        <v>44650</v>
      </c>
      <c r="H250" s="430">
        <v>17498.25</v>
      </c>
      <c r="I250" s="348">
        <f>H250/H249-1</f>
        <v>9.9824655967684084E-3</v>
      </c>
    </row>
    <row r="251" spans="2:9" x14ac:dyDescent="0.3">
      <c r="B251" s="349"/>
    </row>
  </sheetData>
  <mergeCells count="2">
    <mergeCell ref="B2:D2"/>
    <mergeCell ref="G2:I2"/>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C23529-AC94-482D-A3EA-67386E20F30C}">
  <sheetPr>
    <outlinePr summaryBelow="0"/>
  </sheetPr>
  <dimension ref="B1:G11"/>
  <sheetViews>
    <sheetView showGridLines="0" workbookViewId="0"/>
  </sheetViews>
  <sheetFormatPr defaultRowHeight="14.4" outlineLevelRow="1" outlineLevelCol="1" x14ac:dyDescent="0.3"/>
  <cols>
    <col min="3" max="3" width="18.44140625" bestFit="1" customWidth="1"/>
    <col min="4" max="7" width="13.109375" bestFit="1" customWidth="1" outlineLevel="1"/>
  </cols>
  <sheetData>
    <row r="1" spans="2:7" ht="15" thickBot="1" x14ac:dyDescent="0.35"/>
    <row r="2" spans="2:7" ht="15.6" x14ac:dyDescent="0.3">
      <c r="B2" s="329" t="s">
        <v>527</v>
      </c>
      <c r="C2" s="329"/>
      <c r="D2" s="332"/>
      <c r="E2" s="332"/>
      <c r="F2" s="332"/>
      <c r="G2" s="332"/>
    </row>
    <row r="3" spans="2:7" ht="15.6" collapsed="1" x14ac:dyDescent="0.3">
      <c r="B3" s="328"/>
      <c r="C3" s="328"/>
      <c r="D3" s="333" t="s">
        <v>529</v>
      </c>
      <c r="E3" s="333" t="s">
        <v>523</v>
      </c>
      <c r="F3" s="333" t="s">
        <v>524</v>
      </c>
      <c r="G3" s="333" t="s">
        <v>526</v>
      </c>
    </row>
    <row r="4" spans="2:7" ht="71.400000000000006" hidden="1" outlineLevel="1" x14ac:dyDescent="0.3">
      <c r="B4" s="727"/>
      <c r="C4" s="727"/>
      <c r="E4" s="729" t="s">
        <v>545</v>
      </c>
      <c r="F4" s="729" t="s">
        <v>525</v>
      </c>
      <c r="G4" s="729" t="s">
        <v>525</v>
      </c>
    </row>
    <row r="5" spans="2:7" x14ac:dyDescent="0.3">
      <c r="B5" s="330" t="s">
        <v>528</v>
      </c>
      <c r="C5" s="330"/>
      <c r="D5" s="726"/>
      <c r="E5" s="726"/>
      <c r="F5" s="726"/>
      <c r="G5" s="726"/>
    </row>
    <row r="6" spans="2:7" outlineLevel="1" x14ac:dyDescent="0.3">
      <c r="B6" s="727"/>
      <c r="C6" s="727" t="s">
        <v>521</v>
      </c>
      <c r="D6" s="724">
        <v>0.14000000000000001</v>
      </c>
      <c r="E6" s="728">
        <v>0.14000000000000001</v>
      </c>
      <c r="F6" s="728">
        <v>0.17</v>
      </c>
      <c r="G6" s="728">
        <v>0.1</v>
      </c>
    </row>
    <row r="7" spans="2:7" x14ac:dyDescent="0.3">
      <c r="B7" s="330" t="s">
        <v>530</v>
      </c>
      <c r="C7" s="330"/>
      <c r="D7" s="726"/>
      <c r="E7" s="726"/>
      <c r="F7" s="726"/>
      <c r="G7" s="726"/>
    </row>
    <row r="8" spans="2:7" ht="15" outlineLevel="1" thickBot="1" x14ac:dyDescent="0.35">
      <c r="B8" s="331"/>
      <c r="C8" s="331" t="s">
        <v>522</v>
      </c>
      <c r="D8" s="725">
        <v>430.12928866082501</v>
      </c>
      <c r="E8" s="725">
        <v>430.12928866082501</v>
      </c>
      <c r="F8" s="725">
        <v>2496.6697514904299</v>
      </c>
      <c r="G8" s="725">
        <v>251.487867450316</v>
      </c>
    </row>
    <row r="9" spans="2:7" x14ac:dyDescent="0.3">
      <c r="B9" t="s">
        <v>531</v>
      </c>
    </row>
    <row r="10" spans="2:7" x14ac:dyDescent="0.3">
      <c r="B10" t="s">
        <v>532</v>
      </c>
    </row>
    <row r="11" spans="2:7" x14ac:dyDescent="0.3">
      <c r="B11" t="s">
        <v>533</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FB8668-6956-4D47-98C5-6CFDB30AC555}">
  <sheetPr>
    <tabColor rgb="FFFFC000"/>
  </sheetPr>
  <dimension ref="B1:R21"/>
  <sheetViews>
    <sheetView zoomScale="88" workbookViewId="0">
      <pane xSplit="2" ySplit="4" topLeftCell="C5" activePane="bottomRight" state="frozen"/>
      <selection pane="topRight" activeCell="C1" sqref="C1"/>
      <selection pane="bottomLeft" activeCell="A5" sqref="A5"/>
      <selection pane="bottomRight" activeCell="C2" sqref="C2:M2"/>
    </sheetView>
  </sheetViews>
  <sheetFormatPr defaultColWidth="8.77734375" defaultRowHeight="15.6" x14ac:dyDescent="0.3"/>
  <cols>
    <col min="1" max="1" width="8.77734375" style="2"/>
    <col min="2" max="2" width="17.109375" style="2" bestFit="1" customWidth="1"/>
    <col min="3" max="3" width="28.77734375" style="2" customWidth="1"/>
    <col min="4" max="4" width="17.109375" style="2" customWidth="1"/>
    <col min="5" max="5" width="14.44140625" style="2" customWidth="1"/>
    <col min="6" max="6" width="17.44140625" style="2" customWidth="1"/>
    <col min="7" max="7" width="17.88671875" style="2" customWidth="1"/>
    <col min="8" max="8" width="13" style="2" customWidth="1"/>
    <col min="9" max="9" width="18.21875" style="2" customWidth="1"/>
    <col min="10" max="10" width="15.33203125" style="2" customWidth="1"/>
    <col min="11" max="11" width="21.5546875" style="2" customWidth="1"/>
    <col min="12" max="12" width="16" style="2" customWidth="1"/>
    <col min="13" max="13" width="18.21875" style="2" customWidth="1"/>
    <col min="14" max="14" width="7.33203125" style="2" bestFit="1" customWidth="1"/>
    <col min="15" max="16" width="8.77734375" style="2"/>
    <col min="17" max="17" width="19.77734375" style="2" customWidth="1"/>
    <col min="18" max="18" width="9.77734375" style="2" bestFit="1" customWidth="1"/>
    <col min="19" max="16384" width="8.77734375" style="2"/>
  </cols>
  <sheetData>
    <row r="1" spans="2:18" ht="16.2" thickBot="1" x14ac:dyDescent="0.35">
      <c r="R1" s="273"/>
    </row>
    <row r="2" spans="2:18" ht="18" thickBot="1" x14ac:dyDescent="0.35">
      <c r="C2" s="792" t="s">
        <v>412</v>
      </c>
      <c r="D2" s="793"/>
      <c r="E2" s="793"/>
      <c r="F2" s="793"/>
      <c r="G2" s="793"/>
      <c r="H2" s="793"/>
      <c r="I2" s="794" t="s">
        <v>537</v>
      </c>
      <c r="J2" s="795"/>
      <c r="K2" s="795"/>
      <c r="L2" s="795"/>
      <c r="M2" s="722" t="s">
        <v>538</v>
      </c>
      <c r="R2" s="273"/>
    </row>
    <row r="3" spans="2:18" x14ac:dyDescent="0.3">
      <c r="B3" s="350" t="s">
        <v>413</v>
      </c>
      <c r="C3" s="631">
        <v>2022</v>
      </c>
      <c r="D3" s="632">
        <v>2023</v>
      </c>
      <c r="E3" s="632">
        <v>2024</v>
      </c>
      <c r="F3" s="632">
        <v>2025</v>
      </c>
      <c r="G3" s="632">
        <v>2026</v>
      </c>
      <c r="H3" s="633">
        <v>2027</v>
      </c>
      <c r="I3" s="649">
        <f>H3+1</f>
        <v>2028</v>
      </c>
      <c r="J3" s="650">
        <f t="shared" ref="J3:M3" si="0">I3+1</f>
        <v>2029</v>
      </c>
      <c r="K3" s="650">
        <f t="shared" si="0"/>
        <v>2030</v>
      </c>
      <c r="L3" s="651">
        <f t="shared" si="0"/>
        <v>2031</v>
      </c>
      <c r="M3" s="655">
        <f t="shared" si="0"/>
        <v>2032</v>
      </c>
      <c r="R3" s="273"/>
    </row>
    <row r="4" spans="2:18" ht="16.2" thickBot="1" x14ac:dyDescent="0.35">
      <c r="B4" s="351"/>
      <c r="C4" s="634">
        <v>0</v>
      </c>
      <c r="D4" s="635">
        <v>1</v>
      </c>
      <c r="E4" s="635">
        <v>2</v>
      </c>
      <c r="F4" s="635">
        <v>3</v>
      </c>
      <c r="G4" s="635">
        <v>4</v>
      </c>
      <c r="H4" s="636">
        <v>5</v>
      </c>
      <c r="I4" s="652">
        <v>6</v>
      </c>
      <c r="J4" s="653">
        <v>7</v>
      </c>
      <c r="K4" s="653">
        <v>8</v>
      </c>
      <c r="L4" s="654">
        <v>9</v>
      </c>
      <c r="M4" s="656">
        <v>10</v>
      </c>
      <c r="R4" s="273"/>
    </row>
    <row r="5" spans="2:18" x14ac:dyDescent="0.3">
      <c r="B5" s="352" t="s">
        <v>436</v>
      </c>
      <c r="C5" s="429">
        <f>Input!F113</f>
        <v>516</v>
      </c>
      <c r="D5" s="373">
        <f ca="1">Input!I113</f>
        <v>43306.456603336039</v>
      </c>
      <c r="E5" s="373">
        <f ca="1">Input!J113</f>
        <v>79357.170629819098</v>
      </c>
      <c r="F5" s="373">
        <f ca="1">Input!K113</f>
        <v>68640.287865374528</v>
      </c>
      <c r="G5" s="373">
        <f ca="1">Input!L113</f>
        <v>80793.267157255133</v>
      </c>
      <c r="H5" s="373">
        <f ca="1">Input!M113</f>
        <v>90070.073737692015</v>
      </c>
      <c r="I5" s="373">
        <f ca="1">H5*(1+I6)</f>
        <v>100865.62276967651</v>
      </c>
      <c r="J5" s="373">
        <f t="shared" ref="J5:M5" ca="1" si="1">I5*(1+J6)</f>
        <v>113463.02474704554</v>
      </c>
      <c r="K5" s="373">
        <f t="shared" ca="1" si="1"/>
        <v>128205.11808358176</v>
      </c>
      <c r="L5" s="373">
        <f t="shared" ca="1" si="1"/>
        <v>145508.23288145429</v>
      </c>
      <c r="M5" s="375">
        <f t="shared" ca="1" si="1"/>
        <v>165879.38548485789</v>
      </c>
      <c r="R5" s="273"/>
    </row>
    <row r="6" spans="2:18" x14ac:dyDescent="0.3">
      <c r="B6" s="353" t="s">
        <v>437</v>
      </c>
      <c r="C6" s="354"/>
      <c r="D6" s="299"/>
      <c r="E6" s="25"/>
      <c r="F6" s="300"/>
      <c r="G6" s="25"/>
      <c r="H6" s="156">
        <f ca="1">H5/G5-1</f>
        <v>0.11482153039288057</v>
      </c>
      <c r="I6" s="156">
        <f ca="1">H6+$C$17</f>
        <v>0.11985722431430446</v>
      </c>
      <c r="J6" s="156">
        <f t="shared" ref="J6:L6" ca="1" si="2">I6+$C$17</f>
        <v>0.12489291823572835</v>
      </c>
      <c r="K6" s="156">
        <f t="shared" ca="1" si="2"/>
        <v>0.12992861215715223</v>
      </c>
      <c r="L6" s="156">
        <f t="shared" ca="1" si="2"/>
        <v>0.13496430607857612</v>
      </c>
      <c r="M6" s="253">
        <f>'Assumptions '!C42</f>
        <v>0.14000000000000001</v>
      </c>
      <c r="R6" s="273"/>
    </row>
    <row r="7" spans="2:18" x14ac:dyDescent="0.3">
      <c r="B7" s="353" t="s">
        <v>438</v>
      </c>
      <c r="C7" s="252"/>
      <c r="D7" s="156"/>
      <c r="E7" s="25"/>
      <c r="F7" s="25"/>
      <c r="G7" s="25"/>
      <c r="H7" s="25"/>
      <c r="I7" s="25"/>
      <c r="J7" s="25"/>
      <c r="K7" s="25"/>
      <c r="L7" s="355">
        <f ca="1">L5*(1+C16)/(C18-C16)</f>
        <v>110666.93050906487</v>
      </c>
      <c r="M7" s="254"/>
    </row>
    <row r="8" spans="2:18" x14ac:dyDescent="0.3">
      <c r="B8" s="353" t="s">
        <v>439</v>
      </c>
      <c r="C8" s="252"/>
      <c r="D8" s="293">
        <f t="shared" ref="D8:L8" ca="1" si="3">D5+D7</f>
        <v>43306.456603336039</v>
      </c>
      <c r="E8" s="293">
        <f t="shared" ca="1" si="3"/>
        <v>79357.170629819098</v>
      </c>
      <c r="F8" s="293">
        <f t="shared" ca="1" si="3"/>
        <v>68640.287865374528</v>
      </c>
      <c r="G8" s="293">
        <f t="shared" ca="1" si="3"/>
        <v>80793.267157255133</v>
      </c>
      <c r="H8" s="293">
        <f t="shared" ca="1" si="3"/>
        <v>90070.073737692015</v>
      </c>
      <c r="I8" s="293">
        <f t="shared" ca="1" si="3"/>
        <v>100865.62276967651</v>
      </c>
      <c r="J8" s="293">
        <f t="shared" ca="1" si="3"/>
        <v>113463.02474704554</v>
      </c>
      <c r="K8" s="293">
        <f t="shared" ca="1" si="3"/>
        <v>128205.11808358176</v>
      </c>
      <c r="L8" s="293">
        <f t="shared" ca="1" si="3"/>
        <v>256175.16339051916</v>
      </c>
      <c r="M8" s="254"/>
    </row>
    <row r="9" spans="2:18" x14ac:dyDescent="0.3">
      <c r="B9" s="366" t="s">
        <v>428</v>
      </c>
      <c r="C9" s="367">
        <f ca="1">NPV(C18,D8:L8)</f>
        <v>34433.143892322689</v>
      </c>
      <c r="D9" s="25"/>
      <c r="E9" s="25"/>
      <c r="F9" s="25"/>
      <c r="G9" s="156"/>
      <c r="H9" s="25"/>
      <c r="I9" s="25"/>
      <c r="J9" s="25"/>
      <c r="K9" s="25"/>
      <c r="L9" s="25"/>
      <c r="M9" s="254"/>
    </row>
    <row r="10" spans="2:18" x14ac:dyDescent="0.3">
      <c r="B10" s="368" t="s">
        <v>440</v>
      </c>
      <c r="C10" s="369">
        <f>Input!F135</f>
        <v>3440.7107999999998</v>
      </c>
      <c r="D10" s="25"/>
      <c r="E10" s="25"/>
      <c r="F10" s="25"/>
      <c r="G10" s="25"/>
      <c r="H10" s="25"/>
      <c r="I10" s="25"/>
      <c r="J10" s="25"/>
      <c r="K10" s="25"/>
      <c r="L10" s="25"/>
      <c r="M10" s="254"/>
    </row>
    <row r="11" spans="2:18" x14ac:dyDescent="0.3">
      <c r="B11" s="370" t="s">
        <v>441</v>
      </c>
      <c r="C11" s="371">
        <f ca="1">C9/C10</f>
        <v>10.007567009794224</v>
      </c>
      <c r="D11" s="356"/>
      <c r="E11" s="357"/>
      <c r="F11" s="357"/>
      <c r="G11" s="357"/>
      <c r="H11" s="357"/>
      <c r="I11" s="357"/>
      <c r="J11" s="357"/>
      <c r="K11" s="357"/>
      <c r="L11" s="357"/>
      <c r="M11" s="358"/>
    </row>
    <row r="13" spans="2:18" ht="16.2" thickBot="1" x14ac:dyDescent="0.35"/>
    <row r="14" spans="2:18" x14ac:dyDescent="0.3">
      <c r="B14" s="359" t="s">
        <v>442</v>
      </c>
      <c r="C14" s="360"/>
    </row>
    <row r="15" spans="2:18" x14ac:dyDescent="0.3">
      <c r="B15" s="18" t="s">
        <v>443</v>
      </c>
      <c r="C15" s="361">
        <f ca="1">H6</f>
        <v>0.11482153039288057</v>
      </c>
    </row>
    <row r="16" spans="2:18" x14ac:dyDescent="0.3">
      <c r="B16" s="18" t="s">
        <v>444</v>
      </c>
      <c r="C16" s="361">
        <v>0.14000000000000001</v>
      </c>
    </row>
    <row r="17" spans="2:6" x14ac:dyDescent="0.3">
      <c r="B17" s="16" t="s">
        <v>430</v>
      </c>
      <c r="C17" s="372">
        <f ca="1">(M6-H6)/5</f>
        <v>5.0356939214238894E-3</v>
      </c>
      <c r="F17" s="362"/>
    </row>
    <row r="18" spans="2:6" x14ac:dyDescent="0.3">
      <c r="B18" s="16" t="s">
        <v>432</v>
      </c>
      <c r="C18" s="372">
        <f>C19+C20*(C21-C19)</f>
        <v>1.6389065362327955</v>
      </c>
    </row>
    <row r="19" spans="2:6" x14ac:dyDescent="0.3">
      <c r="B19" s="298" t="s">
        <v>431</v>
      </c>
      <c r="C19" s="363">
        <f>'Beta &amp; Rm'!L7</f>
        <v>0.06</v>
      </c>
    </row>
    <row r="20" spans="2:6" x14ac:dyDescent="0.3">
      <c r="B20" s="298" t="s">
        <v>445</v>
      </c>
      <c r="C20" s="301">
        <f>'Beta &amp; Rm'!L5</f>
        <v>0.98199970188319796</v>
      </c>
    </row>
    <row r="21" spans="2:6" x14ac:dyDescent="0.3">
      <c r="B21" s="364" t="s">
        <v>446</v>
      </c>
      <c r="C21" s="365">
        <f>'Beta &amp; Rm'!L6</f>
        <v>1.6678482846836906</v>
      </c>
    </row>
  </sheetData>
  <scenarios current="0" show="0" sqref="C11">
    <scenario name="Original " locked="1" count="1" user="BHARATHI KYATHI GANAPATHIRAJU" comment="Created by Ananya Chengta on 22-03-2023_x000a_Modified by BHARATHI KYATHI GANAPATHIRAJU on 22-03-2023">
      <inputCells r="C16" val="0.14"/>
    </scenario>
    <scenario name="Optimistic" locked="1" count="1" user="BHARATHI KYATHI GANAPATHIRAJU" comment="Created by BHARATHI KYATHI GANAPATHIRAJU on 22-03-2023">
      <inputCells r="C16" val="0.17"/>
    </scenario>
    <scenario name="Pessimistic" locked="1" count="1" user="BHARATHI KYATHI GANAPATHIRAJU" comment="Created by BHARATHI KYATHI GANAPATHIRAJU on 22-03-2023">
      <inputCells r="C16" val="0.1"/>
    </scenario>
  </scenarios>
  <mergeCells count="2">
    <mergeCell ref="C2:H2"/>
    <mergeCell ref="I2:L2"/>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ED297F-36BF-4DDB-A275-3F2D724FF8F2}">
  <sheetPr>
    <tabColor theme="4" tint="-0.249977111117893"/>
  </sheetPr>
  <dimension ref="B1:S47"/>
  <sheetViews>
    <sheetView tabSelected="1" zoomScale="81" zoomScaleNormal="96" workbookViewId="0">
      <pane xSplit="2" ySplit="4" topLeftCell="C5" activePane="bottomRight" state="frozen"/>
      <selection pane="topRight"/>
      <selection pane="bottomLeft"/>
      <selection pane="bottomRight" activeCell="C19" sqref="C19"/>
    </sheetView>
  </sheetViews>
  <sheetFormatPr defaultColWidth="9.21875" defaultRowHeight="15.6" x14ac:dyDescent="0.3"/>
  <cols>
    <col min="1" max="1" width="9.21875" style="2"/>
    <col min="2" max="2" width="21" style="2" customWidth="1"/>
    <col min="3" max="3" width="14.5546875" style="2" bestFit="1" customWidth="1"/>
    <col min="4" max="6" width="12.88671875" style="2" bestFit="1" customWidth="1"/>
    <col min="7" max="8" width="14" style="2" bestFit="1" customWidth="1"/>
    <col min="9" max="11" width="12.88671875" style="2" bestFit="1" customWidth="1"/>
    <col min="12" max="12" width="14" style="2" bestFit="1" customWidth="1"/>
    <col min="13" max="13" width="12.88671875" style="2" bestFit="1" customWidth="1"/>
    <col min="14" max="16384" width="9.21875" style="2"/>
  </cols>
  <sheetData>
    <row r="1" spans="2:19" ht="16.2" thickBot="1" x14ac:dyDescent="0.35">
      <c r="B1" s="292"/>
      <c r="C1" s="292"/>
      <c r="D1" s="292"/>
      <c r="E1" s="292"/>
      <c r="F1" s="292"/>
      <c r="G1" s="292"/>
      <c r="H1" s="292"/>
      <c r="I1" s="292"/>
      <c r="J1" s="292"/>
      <c r="K1" s="292"/>
      <c r="L1" s="292"/>
      <c r="M1" s="292"/>
      <c r="N1" s="292"/>
      <c r="O1" s="292"/>
      <c r="P1" s="292"/>
      <c r="Q1" s="292"/>
      <c r="R1" s="292"/>
      <c r="S1" s="292"/>
    </row>
    <row r="2" spans="2:19" ht="18.600000000000001" thickBot="1" x14ac:dyDescent="0.4">
      <c r="B2" s="350"/>
      <c r="C2" s="808" t="s">
        <v>412</v>
      </c>
      <c r="D2" s="809"/>
      <c r="E2" s="809"/>
      <c r="F2" s="809"/>
      <c r="G2" s="809"/>
      <c r="H2" s="809"/>
      <c r="I2" s="796" t="s">
        <v>537</v>
      </c>
      <c r="J2" s="796"/>
      <c r="K2" s="796"/>
      <c r="L2" s="796"/>
      <c r="M2" s="723" t="s">
        <v>538</v>
      </c>
    </row>
    <row r="3" spans="2:19" x14ac:dyDescent="0.3">
      <c r="B3" s="374" t="s">
        <v>413</v>
      </c>
      <c r="C3" s="637">
        <v>2022</v>
      </c>
      <c r="D3" s="638">
        <v>2023</v>
      </c>
      <c r="E3" s="638">
        <v>2024</v>
      </c>
      <c r="F3" s="638">
        <v>2025</v>
      </c>
      <c r="G3" s="638">
        <v>2026</v>
      </c>
      <c r="H3" s="639">
        <v>2027</v>
      </c>
      <c r="I3" s="643">
        <f>H3+1</f>
        <v>2028</v>
      </c>
      <c r="J3" s="644">
        <f t="shared" ref="J3:M3" si="0">I3+1</f>
        <v>2029</v>
      </c>
      <c r="K3" s="644">
        <f t="shared" si="0"/>
        <v>2030</v>
      </c>
      <c r="L3" s="645">
        <f t="shared" si="0"/>
        <v>2031</v>
      </c>
      <c r="M3" s="657">
        <f t="shared" si="0"/>
        <v>2032</v>
      </c>
    </row>
    <row r="4" spans="2:19" ht="16.2" thickBot="1" x14ac:dyDescent="0.35">
      <c r="B4" s="374"/>
      <c r="C4" s="640">
        <v>0</v>
      </c>
      <c r="D4" s="641">
        <v>1</v>
      </c>
      <c r="E4" s="641">
        <v>2</v>
      </c>
      <c r="F4" s="641">
        <v>3</v>
      </c>
      <c r="G4" s="641">
        <v>4</v>
      </c>
      <c r="H4" s="642">
        <v>5</v>
      </c>
      <c r="I4" s="646">
        <v>6</v>
      </c>
      <c r="J4" s="647">
        <v>7</v>
      </c>
      <c r="K4" s="647">
        <v>8</v>
      </c>
      <c r="L4" s="648">
        <v>9</v>
      </c>
      <c r="M4" s="658">
        <v>10</v>
      </c>
    </row>
    <row r="5" spans="2:19" x14ac:dyDescent="0.3">
      <c r="B5" s="252" t="s">
        <v>416</v>
      </c>
      <c r="C5" s="373">
        <f>'Model- Income statement'!F40</f>
        <v>73080</v>
      </c>
      <c r="D5" s="373">
        <f ca="1">'Model- Income statement'!G40</f>
        <v>192473.14045927126</v>
      </c>
      <c r="E5" s="373">
        <f ca="1">'Model- Income statement'!H40</f>
        <v>352698.53613252932</v>
      </c>
      <c r="F5" s="373">
        <f ca="1">'Model- Income statement'!I40</f>
        <v>305067.94606833125</v>
      </c>
      <c r="G5" s="373">
        <f ca="1">'Model- Income statement'!J40</f>
        <v>359081.18736557837</v>
      </c>
      <c r="H5" s="373">
        <f ca="1">'Model- Income statement'!K40</f>
        <v>400311.4388341867</v>
      </c>
      <c r="I5" s="373"/>
      <c r="J5" s="373"/>
      <c r="K5" s="373"/>
      <c r="L5" s="373"/>
      <c r="M5" s="375"/>
    </row>
    <row r="6" spans="2:19" x14ac:dyDescent="0.3">
      <c r="B6" s="252" t="s">
        <v>417</v>
      </c>
      <c r="C6" s="293">
        <f>'Model- Income statement'!F32</f>
        <v>7565</v>
      </c>
      <c r="D6" s="293">
        <f>'Model- Income statement'!G32</f>
        <v>7012.0516379140554</v>
      </c>
      <c r="E6" s="293">
        <f>'Model- Income statement'!H32</f>
        <v>6499.5199170883261</v>
      </c>
      <c r="F6" s="293">
        <f>'Model- Income statement'!I32</f>
        <v>6024.4506649404129</v>
      </c>
      <c r="G6" s="293">
        <f>'Model- Income statement'!J32</f>
        <v>5584.1056381530525</v>
      </c>
      <c r="H6" s="293">
        <f>'Model- Income statement'!K32</f>
        <v>5175.9467397615635</v>
      </c>
      <c r="I6" s="293"/>
      <c r="J6" s="293"/>
      <c r="K6" s="293"/>
      <c r="L6" s="293"/>
      <c r="M6" s="376"/>
    </row>
    <row r="7" spans="2:19" x14ac:dyDescent="0.3">
      <c r="B7" s="252" t="s">
        <v>418</v>
      </c>
      <c r="C7" s="293">
        <f>'Model- Income statement'!F31</f>
        <v>1339</v>
      </c>
      <c r="D7" s="293">
        <f ca="1">'Model- Income statement'!G31</f>
        <v>1146.0180854160012</v>
      </c>
      <c r="E7" s="293">
        <f ca="1">'Model- Income statement'!H31</f>
        <v>1213.9158393799662</v>
      </c>
      <c r="F7" s="293">
        <f ca="1">'Model- Income statement'!I31</f>
        <v>1300.2670738799566</v>
      </c>
      <c r="G7" s="293">
        <f ca="1">'Model- Income statement'!J31</f>
        <v>1408.818561357647</v>
      </c>
      <c r="H7" s="293">
        <f ca="1">'Model- Income statement'!K31</f>
        <v>1544.3712399420108</v>
      </c>
      <c r="I7" s="293"/>
      <c r="J7" s="293"/>
      <c r="K7" s="293"/>
      <c r="L7" s="293"/>
      <c r="M7" s="376"/>
    </row>
    <row r="8" spans="2:19" x14ac:dyDescent="0.3">
      <c r="B8" s="252" t="s">
        <v>419</v>
      </c>
      <c r="C8" s="293">
        <f>C7*(1-Input!$G$54)</f>
        <v>982.4327286492462</v>
      </c>
      <c r="D8" s="293">
        <f ca="1">D7*(1-Input!$G$54)</f>
        <v>840.84068314908666</v>
      </c>
      <c r="E8" s="293">
        <f ca="1">E7*(1-Input!$G$54)</f>
        <v>890.65769263076947</v>
      </c>
      <c r="F8" s="293">
        <f ca="1">F7*(1-Input!$G$54)</f>
        <v>954.01413694149119</v>
      </c>
      <c r="G8" s="293">
        <f ca="1">G7*(1-Input!$G$54)</f>
        <v>1033.6590466066457</v>
      </c>
      <c r="H8" s="293">
        <f ca="1">H7*(1-Input!$G$54)</f>
        <v>1133.1149001520907</v>
      </c>
      <c r="I8" s="293"/>
      <c r="J8" s="293"/>
      <c r="K8" s="293"/>
      <c r="L8" s="293"/>
      <c r="M8" s="376"/>
    </row>
    <row r="9" spans="2:19" x14ac:dyDescent="0.3">
      <c r="B9" s="252" t="s">
        <v>420</v>
      </c>
      <c r="C9" s="293">
        <f>Input!F68</f>
        <v>13552</v>
      </c>
      <c r="D9" s="293">
        <f ca="1">Input!I68</f>
        <v>13496.525944710575</v>
      </c>
      <c r="E9" s="293">
        <f ca="1">Input!J68</f>
        <v>15256.674456967521</v>
      </c>
      <c r="F9" s="293">
        <f ca="1">Input!K68</f>
        <v>17393.719164208404</v>
      </c>
      <c r="G9" s="293">
        <f ca="1">Input!L68</f>
        <v>20003.174682739776</v>
      </c>
      <c r="H9" s="293">
        <f ca="1">Input!M68</f>
        <v>23206.032529420962</v>
      </c>
      <c r="I9" s="293"/>
      <c r="J9" s="293"/>
      <c r="K9" s="293"/>
      <c r="L9" s="293"/>
      <c r="M9" s="376"/>
    </row>
    <row r="10" spans="2:19" x14ac:dyDescent="0.3">
      <c r="B10" s="377" t="s">
        <v>421</v>
      </c>
      <c r="C10" s="293">
        <f>'Balance sheet'!F24-'Balance sheet'!F46-'Balance sheet'!F20</f>
        <v>109110</v>
      </c>
      <c r="D10" s="293">
        <f ca="1">'Balance sheet'!G24-'Balance sheet'!G46-'Balance sheet'!G20</f>
        <v>123283.01440125887</v>
      </c>
      <c r="E10" s="293">
        <f ca="1">'Balance sheet'!H24-'Balance sheet'!H46-'Balance sheet'!H20</f>
        <v>110698.39099459059</v>
      </c>
      <c r="F10" s="293">
        <f ca="1">'Balance sheet'!I24-'Balance sheet'!I46-'Balance sheet'!I20</f>
        <v>125692.32538388413</v>
      </c>
      <c r="G10" s="293">
        <f ca="1">'Balance sheet'!J24-'Balance sheet'!J46-'Balance sheet'!J20</f>
        <v>158518.20381284668</v>
      </c>
      <c r="H10" s="293">
        <f ca="1">'Balance sheet'!K24-'Balance sheet'!K46-'Balance sheet'!K20</f>
        <v>160669.12729199626</v>
      </c>
      <c r="I10" s="293"/>
      <c r="J10" s="293"/>
      <c r="K10" s="293"/>
      <c r="L10" s="293"/>
      <c r="M10" s="376"/>
    </row>
    <row r="11" spans="2:19" ht="31.2" x14ac:dyDescent="0.3">
      <c r="B11" s="377" t="s">
        <v>422</v>
      </c>
      <c r="C11" s="293"/>
      <c r="D11" s="293">
        <f ca="1">D10-C10</f>
        <v>14173.014401258872</v>
      </c>
      <c r="E11" s="293">
        <f t="shared" ref="E11:G11" ca="1" si="1">E10-D10</f>
        <v>-12584.623406668281</v>
      </c>
      <c r="F11" s="293">
        <f t="shared" ca="1" si="1"/>
        <v>14993.934389293543</v>
      </c>
      <c r="G11" s="293">
        <f t="shared" ca="1" si="1"/>
        <v>32825.878428962547</v>
      </c>
      <c r="H11" s="293">
        <f ca="1">H10-G10</f>
        <v>2150.9234791495837</v>
      </c>
      <c r="I11" s="293"/>
      <c r="J11" s="293"/>
      <c r="K11" s="293"/>
      <c r="L11" s="293"/>
      <c r="M11" s="376"/>
    </row>
    <row r="12" spans="2:19" x14ac:dyDescent="0.3">
      <c r="B12" s="252" t="s">
        <v>386</v>
      </c>
      <c r="C12" s="293"/>
      <c r="D12" s="293">
        <f ca="1">D5+D6+D8-D9-D11</f>
        <v>172656.49243436498</v>
      </c>
      <c r="E12" s="293">
        <f ca="1">E5+E6+E8-E9-E11</f>
        <v>357416.66269194917</v>
      </c>
      <c r="F12" s="293">
        <f ca="1">F5+F6+F8-F9-F11</f>
        <v>279658.75731671118</v>
      </c>
      <c r="G12" s="293">
        <f ca="1">G5+G6+G8-G9-G11</f>
        <v>312869.89893863571</v>
      </c>
      <c r="H12" s="293">
        <f ca="1">H5+H6+H8-H9-H11</f>
        <v>381263.54446552979</v>
      </c>
      <c r="I12" s="293">
        <f ca="1">H12*(1-I14)</f>
        <v>303912.51811999321</v>
      </c>
      <c r="J12" s="293">
        <f ca="1">I12*(1-J14)</f>
        <v>247032.08476362569</v>
      </c>
      <c r="K12" s="293">
        <f ca="1">J12*(1-K14)</f>
        <v>204680.81394552073</v>
      </c>
      <c r="L12" s="293">
        <f ca="1">K12*(1-L14)</f>
        <v>172807.88022730418</v>
      </c>
      <c r="M12" s="376">
        <f ca="1">L12*(1-M14)</f>
        <v>148614.7769954816</v>
      </c>
    </row>
    <row r="13" spans="2:19" ht="31.2" x14ac:dyDescent="0.3">
      <c r="B13" s="378" t="s">
        <v>487</v>
      </c>
      <c r="C13" s="379">
        <f ca="1">(H14-M14)/5</f>
        <v>1.5720182579985642E-2</v>
      </c>
      <c r="D13" s="294"/>
      <c r="E13" s="294"/>
      <c r="F13" s="294"/>
      <c r="G13" s="294"/>
      <c r="H13" s="294"/>
      <c r="I13" s="294"/>
      <c r="J13" s="294"/>
      <c r="K13" s="294"/>
      <c r="L13" s="294"/>
      <c r="M13" s="380"/>
    </row>
    <row r="14" spans="2:19" x14ac:dyDescent="0.3">
      <c r="B14" s="381" t="s">
        <v>423</v>
      </c>
      <c r="C14" s="290"/>
      <c r="D14" s="290"/>
      <c r="E14" s="290"/>
      <c r="F14" s="290"/>
      <c r="G14" s="290"/>
      <c r="H14" s="290">
        <f ca="1">H12/G12-1</f>
        <v>0.21860091289992822</v>
      </c>
      <c r="I14" s="290">
        <f ca="1">H14-$C$13</f>
        <v>0.20288073031994258</v>
      </c>
      <c r="J14" s="290">
        <f ca="1">I14-$C$13</f>
        <v>0.18716054773995694</v>
      </c>
      <c r="K14" s="290">
        <f ca="1">J14-$C$13</f>
        <v>0.1714403651599713</v>
      </c>
      <c r="L14" s="290">
        <f ca="1">K14-$C$13</f>
        <v>0.15572018257998566</v>
      </c>
      <c r="M14" s="382">
        <f>'Assumptions '!$C$42</f>
        <v>0.14000000000000001</v>
      </c>
    </row>
    <row r="15" spans="2:19" x14ac:dyDescent="0.3">
      <c r="B15" s="381" t="s">
        <v>424</v>
      </c>
      <c r="C15" s="294"/>
      <c r="D15" s="294"/>
      <c r="E15" s="294"/>
      <c r="F15" s="294"/>
      <c r="G15" s="294"/>
      <c r="H15" s="295"/>
      <c r="I15" s="294"/>
      <c r="J15" s="294"/>
      <c r="K15" s="294"/>
      <c r="L15" s="294">
        <f ca="1">M12/(H35-M14)</f>
        <v>104426.17024860742</v>
      </c>
      <c r="M15" s="380"/>
    </row>
    <row r="16" spans="2:19" x14ac:dyDescent="0.3">
      <c r="B16" s="381" t="s">
        <v>425</v>
      </c>
      <c r="C16" s="294"/>
      <c r="D16" s="294">
        <f ca="1">D12+D15</f>
        <v>172656.49243436498</v>
      </c>
      <c r="E16" s="294">
        <f t="shared" ref="E16:L16" ca="1" si="2">E12+E15</f>
        <v>357416.66269194917</v>
      </c>
      <c r="F16" s="294">
        <f t="shared" ca="1" si="2"/>
        <v>279658.75731671118</v>
      </c>
      <c r="G16" s="294">
        <f t="shared" ca="1" si="2"/>
        <v>312869.89893863571</v>
      </c>
      <c r="H16" s="294">
        <f t="shared" ca="1" si="2"/>
        <v>381263.54446552979</v>
      </c>
      <c r="I16" s="294">
        <f t="shared" ca="1" si="2"/>
        <v>303912.51811999321</v>
      </c>
      <c r="J16" s="294">
        <f t="shared" ca="1" si="2"/>
        <v>247032.08476362569</v>
      </c>
      <c r="K16" s="294">
        <f t="shared" ca="1" si="2"/>
        <v>204680.81394552073</v>
      </c>
      <c r="L16" s="294">
        <f t="shared" ca="1" si="2"/>
        <v>277234.05047591159</v>
      </c>
      <c r="M16" s="380"/>
    </row>
    <row r="17" spans="2:13" x14ac:dyDescent="0.3">
      <c r="B17" s="383" t="s">
        <v>426</v>
      </c>
      <c r="C17" s="296">
        <f ca="1">NPV(C35,D16:L16)</f>
        <v>167688.94339422646</v>
      </c>
      <c r="D17" s="296"/>
      <c r="E17" s="296"/>
      <c r="F17" s="296"/>
      <c r="G17" s="296"/>
      <c r="H17" s="296"/>
      <c r="I17" s="296"/>
      <c r="J17" s="296"/>
      <c r="K17" s="296"/>
      <c r="L17" s="296"/>
      <c r="M17" s="384"/>
    </row>
    <row r="18" spans="2:13" x14ac:dyDescent="0.3">
      <c r="B18" s="252" t="s">
        <v>427</v>
      </c>
      <c r="C18" s="296">
        <f>'Balance sheet'!F35+'Balance sheet'!F41</f>
        <v>41785</v>
      </c>
      <c r="D18" s="25"/>
      <c r="E18" s="25"/>
      <c r="F18" s="25"/>
      <c r="G18" s="25"/>
      <c r="H18" s="25"/>
      <c r="I18" s="25"/>
      <c r="J18" s="25"/>
      <c r="K18" s="25"/>
      <c r="L18" s="25"/>
      <c r="M18" s="254"/>
    </row>
    <row r="19" spans="2:13" ht="31.2" x14ac:dyDescent="0.3">
      <c r="B19" s="377" t="s">
        <v>488</v>
      </c>
      <c r="C19" s="296">
        <f>Case!F63</f>
        <v>9561</v>
      </c>
      <c r="D19" s="25"/>
      <c r="E19" s="25"/>
      <c r="F19" s="25"/>
      <c r="G19" s="25"/>
      <c r="H19" s="25"/>
      <c r="I19" s="25"/>
      <c r="J19" s="25"/>
      <c r="K19" s="25"/>
      <c r="L19" s="25"/>
      <c r="M19" s="254"/>
    </row>
    <row r="20" spans="2:13" x14ac:dyDescent="0.3">
      <c r="B20" s="383" t="s">
        <v>428</v>
      </c>
      <c r="C20" s="296">
        <f ca="1">C17-C18+C19</f>
        <v>135464.94339422646</v>
      </c>
      <c r="D20" s="25"/>
      <c r="E20" s="25"/>
      <c r="F20" s="25"/>
      <c r="G20" s="25"/>
      <c r="H20" s="25"/>
      <c r="I20" s="25"/>
      <c r="J20" s="25"/>
      <c r="K20" s="25"/>
      <c r="L20" s="25"/>
      <c r="M20" s="254"/>
    </row>
    <row r="21" spans="2:13" x14ac:dyDescent="0.3">
      <c r="B21" s="383" t="s">
        <v>489</v>
      </c>
      <c r="C21" s="296">
        <f>Input!F110</f>
        <v>3440.7107999999998</v>
      </c>
      <c r="D21" s="25"/>
      <c r="E21" s="25"/>
      <c r="F21" s="25"/>
      <c r="G21" s="25"/>
      <c r="H21" s="25"/>
      <c r="I21" s="25"/>
      <c r="J21" s="25"/>
      <c r="K21" s="25"/>
      <c r="L21" s="25"/>
      <c r="M21" s="254"/>
    </row>
    <row r="22" spans="2:13" ht="16.2" thickBot="1" x14ac:dyDescent="0.35">
      <c r="B22" s="385" t="s">
        <v>429</v>
      </c>
      <c r="C22" s="386">
        <f ca="1">C20/C21</f>
        <v>39.371208819476038</v>
      </c>
      <c r="D22" s="357"/>
      <c r="E22" s="357"/>
      <c r="F22" s="357"/>
      <c r="G22" s="357"/>
      <c r="H22" s="357"/>
      <c r="I22" s="357"/>
      <c r="J22" s="357"/>
      <c r="K22" s="357"/>
      <c r="L22" s="357"/>
      <c r="M22" s="358"/>
    </row>
    <row r="25" spans="2:13" ht="16.2" thickBot="1" x14ac:dyDescent="0.35"/>
    <row r="26" spans="2:13" ht="16.2" thickBot="1" x14ac:dyDescent="0.35">
      <c r="B26" s="797" t="s">
        <v>491</v>
      </c>
      <c r="C26" s="798"/>
      <c r="D26" s="798"/>
      <c r="E26" s="798"/>
      <c r="F26" s="798"/>
      <c r="G26" s="798"/>
      <c r="H26" s="799"/>
    </row>
    <row r="27" spans="2:13" x14ac:dyDescent="0.3">
      <c r="B27" s="297" t="s">
        <v>414</v>
      </c>
      <c r="C27" s="373">
        <f>'Balance sheet'!F35+'Balance sheet'!F41</f>
        <v>41785</v>
      </c>
      <c r="D27" s="373">
        <f ca="1">'Balance sheet'!G35+'Balance sheet'!G41</f>
        <v>35991.622862567354</v>
      </c>
      <c r="E27" s="373">
        <f ca="1">'Balance sheet'!H35+'Balance sheet'!H41</f>
        <v>24598.955946560338</v>
      </c>
      <c r="F27" s="373">
        <f ca="1">'Balance sheet'!I35+'Balance sheet'!I41</f>
        <v>60933.553776954883</v>
      </c>
      <c r="G27" s="373">
        <f ca="1">'Balance sheet'!J35+'Balance sheet'!J41</f>
        <v>28111.618322347378</v>
      </c>
      <c r="H27" s="427">
        <f ca="1">'Balance sheet'!K35+'Balance sheet'!K41</f>
        <v>75433.023473735797</v>
      </c>
    </row>
    <row r="28" spans="2:13" x14ac:dyDescent="0.3">
      <c r="B28" s="298" t="s">
        <v>415</v>
      </c>
      <c r="C28" s="293">
        <f>'Balance sheet'!F31</f>
        <v>263218</v>
      </c>
      <c r="D28" s="293">
        <f ca="1">'Balance sheet'!G31</f>
        <v>394406.95465593523</v>
      </c>
      <c r="E28" s="293">
        <f ca="1">'Balance sheet'!H31</f>
        <v>667725.96015864552</v>
      </c>
      <c r="F28" s="293">
        <f ca="1">'Balance sheet'!I31</f>
        <v>904153.61836160219</v>
      </c>
      <c r="G28" s="293">
        <f ca="1">'Balance sheet'!J31</f>
        <v>1182441.5385699254</v>
      </c>
      <c r="H28" s="428">
        <f ca="1">'Balance sheet'!K31</f>
        <v>1492682.9036664201</v>
      </c>
    </row>
    <row r="29" spans="2:13" x14ac:dyDescent="0.3">
      <c r="B29" s="298" t="s">
        <v>425</v>
      </c>
      <c r="C29" s="293">
        <f>SUM(C27:C28)</f>
        <v>305003</v>
      </c>
      <c r="D29" s="293">
        <f t="shared" ref="D29:H29" ca="1" si="3">SUM(D27:D28)</f>
        <v>430398.5775185026</v>
      </c>
      <c r="E29" s="293">
        <f t="shared" ca="1" si="3"/>
        <v>692324.91610520589</v>
      </c>
      <c r="F29" s="293">
        <f t="shared" ca="1" si="3"/>
        <v>965087.17213855707</v>
      </c>
      <c r="G29" s="293">
        <f t="shared" ca="1" si="3"/>
        <v>1210553.1568922726</v>
      </c>
      <c r="H29" s="428">
        <f t="shared" ca="1" si="3"/>
        <v>1568115.927140156</v>
      </c>
    </row>
    <row r="30" spans="2:13" x14ac:dyDescent="0.3">
      <c r="B30" s="298" t="s">
        <v>434</v>
      </c>
      <c r="C30" s="300">
        <f t="shared" ref="C30:H30" si="4">C28/C29</f>
        <v>0.86300134752772928</v>
      </c>
      <c r="D30" s="300">
        <f t="shared" ca="1" si="4"/>
        <v>0.91637606455374465</v>
      </c>
      <c r="E30" s="300">
        <f t="shared" ca="1" si="4"/>
        <v>0.9644690587117013</v>
      </c>
      <c r="F30" s="300">
        <f t="shared" ca="1" si="4"/>
        <v>0.93686212444215688</v>
      </c>
      <c r="G30" s="300">
        <f t="shared" ca="1" si="4"/>
        <v>0.97677787368337021</v>
      </c>
      <c r="H30" s="301">
        <f t="shared" ca="1" si="4"/>
        <v>0.95189576091398642</v>
      </c>
    </row>
    <row r="31" spans="2:13" x14ac:dyDescent="0.3">
      <c r="B31" s="298" t="s">
        <v>435</v>
      </c>
      <c r="C31" s="300">
        <f>1-C30</f>
        <v>0.13699865247227072</v>
      </c>
      <c r="D31" s="300">
        <f t="shared" ref="D31:H31" ca="1" si="5">1-D30</f>
        <v>8.3623935446255349E-2</v>
      </c>
      <c r="E31" s="300">
        <f t="shared" ca="1" si="5"/>
        <v>3.5530941288298701E-2</v>
      </c>
      <c r="F31" s="300">
        <f t="shared" ca="1" si="5"/>
        <v>6.3137875557843115E-2</v>
      </c>
      <c r="G31" s="300">
        <f t="shared" ca="1" si="5"/>
        <v>2.3222126316629788E-2</v>
      </c>
      <c r="H31" s="301">
        <f t="shared" ca="1" si="5"/>
        <v>4.8104239086013578E-2</v>
      </c>
    </row>
    <row r="32" spans="2:13" x14ac:dyDescent="0.3">
      <c r="B32" s="298" t="s">
        <v>432</v>
      </c>
      <c r="C32" s="156">
        <f>'Beta &amp; Rm'!$L$7+'Beta &amp; Rm'!$L$5*('Beta &amp; Rm'!$L$6-'Beta &amp; Rm'!$L$7)</f>
        <v>1.6389065362327955</v>
      </c>
      <c r="D32" s="156">
        <f>'Beta &amp; Rm'!$L$7+'Beta &amp; Rm'!$L$5*('Beta &amp; Rm'!$L$6-'Beta &amp; Rm'!$L$7)</f>
        <v>1.6389065362327955</v>
      </c>
      <c r="E32" s="156">
        <f>'Beta &amp; Rm'!$L$7+'Beta &amp; Rm'!$L$5*('Beta &amp; Rm'!$L$6-'Beta &amp; Rm'!$L$7)</f>
        <v>1.6389065362327955</v>
      </c>
      <c r="F32" s="156">
        <f>'Beta &amp; Rm'!$L$7+'Beta &amp; Rm'!$L$5*('Beta &amp; Rm'!$L$6-'Beta &amp; Rm'!$L$7)</f>
        <v>1.6389065362327955</v>
      </c>
      <c r="G32" s="156">
        <f>'Beta &amp; Rm'!$L$7+'Beta &amp; Rm'!$L$5*('Beta &amp; Rm'!$L$6-'Beta &amp; Rm'!$L$7)</f>
        <v>1.6389065362327955</v>
      </c>
      <c r="H32" s="302">
        <f>'Beta &amp; Rm'!$L$7+'Beta &amp; Rm'!$L$5*('Beta &amp; Rm'!$L$6-'Beta &amp; Rm'!$L$7)</f>
        <v>1.6389065362327955</v>
      </c>
    </row>
    <row r="33" spans="2:13" x14ac:dyDescent="0.3">
      <c r="B33" s="298" t="s">
        <v>485</v>
      </c>
      <c r="C33" s="156">
        <f>Input!$G$49</f>
        <v>8.7499999999999994E-2</v>
      </c>
      <c r="D33" s="156">
        <f>Input!$G$49</f>
        <v>8.7499999999999994E-2</v>
      </c>
      <c r="E33" s="156">
        <f>Input!$G$49</f>
        <v>8.7499999999999994E-2</v>
      </c>
      <c r="F33" s="156">
        <f>Input!$G$49</f>
        <v>8.7499999999999994E-2</v>
      </c>
      <c r="G33" s="156">
        <f>Input!$G$49</f>
        <v>8.7499999999999994E-2</v>
      </c>
      <c r="H33" s="302">
        <f>Input!$G$49</f>
        <v>8.7499999999999994E-2</v>
      </c>
      <c r="I33" s="303"/>
      <c r="J33" s="303"/>
      <c r="K33" s="303"/>
      <c r="L33" s="303"/>
      <c r="M33" s="303"/>
    </row>
    <row r="34" spans="2:13" x14ac:dyDescent="0.3">
      <c r="B34" s="298" t="s">
        <v>433</v>
      </c>
      <c r="C34" s="156">
        <f>C33*(1-Input!$G$54)</f>
        <v>6.4199300789252456E-2</v>
      </c>
      <c r="D34" s="156">
        <f>D33*(1-Input!$G$54)</f>
        <v>6.4199300789252456E-2</v>
      </c>
      <c r="E34" s="156">
        <f>E33*(1-Input!$G$54)</f>
        <v>6.4199300789252456E-2</v>
      </c>
      <c r="F34" s="156">
        <f>F33*(1-Input!$G$54)</f>
        <v>6.4199300789252456E-2</v>
      </c>
      <c r="G34" s="156">
        <f>G33*(1-Input!$G$54)</f>
        <v>6.4199300789252456E-2</v>
      </c>
      <c r="H34" s="302">
        <f>H33*(1-Input!$G$54)</f>
        <v>6.4199300789252456E-2</v>
      </c>
    </row>
    <row r="35" spans="2:13" ht="16.2" thickBot="1" x14ac:dyDescent="0.35">
      <c r="B35" s="325" t="s">
        <v>486</v>
      </c>
      <c r="C35" s="326">
        <f t="shared" ref="C35:H35" si="6">C31*C34+C32*C30</f>
        <v>1.4231737669386955</v>
      </c>
      <c r="D35" s="326">
        <f t="shared" ca="1" si="6"/>
        <v>1.5072233200293135</v>
      </c>
      <c r="E35" s="326">
        <f t="shared" ca="1" si="6"/>
        <v>1.5829557059039918</v>
      </c>
      <c r="F35" s="326">
        <f t="shared" ca="1" si="6"/>
        <v>1.5394828667613258</v>
      </c>
      <c r="G35" s="326">
        <f t="shared" ca="1" si="6"/>
        <v>1.6023384858996146</v>
      </c>
      <c r="H35" s="327">
        <f t="shared" ca="1" si="6"/>
        <v>1.5631564428885438</v>
      </c>
    </row>
    <row r="39" spans="2:13" ht="16.2" thickBot="1" x14ac:dyDescent="0.35"/>
    <row r="40" spans="2:13" ht="16.2" thickBot="1" x14ac:dyDescent="0.35">
      <c r="B40" s="805" t="s">
        <v>490</v>
      </c>
      <c r="C40" s="806"/>
      <c r="D40" s="806"/>
      <c r="E40" s="806"/>
      <c r="F40" s="806"/>
      <c r="G40" s="806"/>
      <c r="H40" s="807"/>
    </row>
    <row r="41" spans="2:13" x14ac:dyDescent="0.3">
      <c r="B41" s="5"/>
      <c r="C41" s="310"/>
      <c r="D41" s="803" t="s">
        <v>493</v>
      </c>
      <c r="E41" s="803"/>
      <c r="F41" s="803"/>
      <c r="G41" s="803"/>
      <c r="H41" s="804"/>
    </row>
    <row r="42" spans="2:13" x14ac:dyDescent="0.3">
      <c r="C42" s="311">
        <f ca="1">C22</f>
        <v>39.371208819476038</v>
      </c>
      <c r="D42" s="431">
        <v>3440.71</v>
      </c>
      <c r="E42" s="431">
        <v>3590.71</v>
      </c>
      <c r="F42" s="431">
        <v>3740.71</v>
      </c>
      <c r="G42" s="431">
        <v>3890.71</v>
      </c>
      <c r="H42" s="432">
        <v>4040.71</v>
      </c>
    </row>
    <row r="43" spans="2:13" x14ac:dyDescent="0.3">
      <c r="B43" s="800" t="s">
        <v>492</v>
      </c>
      <c r="C43" s="305">
        <v>0.14000000000000001</v>
      </c>
      <c r="D43" s="304">
        <f t="dataTable" ref="D43:H47" dt2D="1" dtr="1" r1="C21" r2="M14" ca="1"/>
        <v>39.37121797368173</v>
      </c>
      <c r="E43" s="304">
        <v>37.726506288234489</v>
      </c>
      <c r="F43" s="304">
        <v>36.21369830706643</v>
      </c>
      <c r="G43" s="304">
        <v>34.817538031420092</v>
      </c>
      <c r="H43" s="306">
        <v>33.525034806810304</v>
      </c>
    </row>
    <row r="44" spans="2:13" x14ac:dyDescent="0.3">
      <c r="B44" s="801"/>
      <c r="C44" s="305">
        <v>0.12</v>
      </c>
      <c r="D44" s="304">
        <v>39.37854559266264</v>
      </c>
      <c r="E44" s="304">
        <v>37.733527799830753</v>
      </c>
      <c r="F44" s="304">
        <v>36.220438260685881</v>
      </c>
      <c r="G44" s="304">
        <v>34.824018137083023</v>
      </c>
      <c r="H44" s="306">
        <v>33.531274356766581</v>
      </c>
    </row>
    <row r="45" spans="2:13" x14ac:dyDescent="0.3">
      <c r="B45" s="801"/>
      <c r="C45" s="305">
        <v>0.1</v>
      </c>
      <c r="D45" s="304">
        <v>39.385968087097055</v>
      </c>
      <c r="E45" s="304">
        <v>37.740640223508919</v>
      </c>
      <c r="F45" s="304">
        <v>36.227265480872802</v>
      </c>
      <c r="G45" s="304">
        <v>34.830582144892759</v>
      </c>
      <c r="H45" s="306">
        <v>33.537594694238315</v>
      </c>
    </row>
    <row r="46" spans="2:13" x14ac:dyDescent="0.3">
      <c r="B46" s="801"/>
      <c r="C46" s="305">
        <v>0.08</v>
      </c>
      <c r="D46" s="304">
        <v>39.393486847953866</v>
      </c>
      <c r="E46" s="304">
        <v>37.7478448921309</v>
      </c>
      <c r="F46" s="304">
        <v>36.23418124704223</v>
      </c>
      <c r="G46" s="304">
        <v>34.837231284938568</v>
      </c>
      <c r="H46" s="306">
        <v>33.543997003651178</v>
      </c>
    </row>
    <row r="47" spans="2:13" ht="16.2" thickBot="1" x14ac:dyDescent="0.35">
      <c r="B47" s="802"/>
      <c r="C47" s="307">
        <v>0.06</v>
      </c>
      <c r="D47" s="308">
        <v>39.401103277535505</v>
      </c>
      <c r="E47" s="308">
        <v>37.755143149418686</v>
      </c>
      <c r="F47" s="308">
        <v>36.241186849033788</v>
      </c>
      <c r="G47" s="308">
        <v>34.843966797332406</v>
      </c>
      <c r="H47" s="309">
        <v>33.550482479081445</v>
      </c>
    </row>
  </sheetData>
  <mergeCells count="6">
    <mergeCell ref="I2:L2"/>
    <mergeCell ref="B26:H26"/>
    <mergeCell ref="B43:B47"/>
    <mergeCell ref="D41:H41"/>
    <mergeCell ref="B40:H40"/>
    <mergeCell ref="C2:H2"/>
  </mergeCells>
  <pageMargins left="0.7" right="0.7" top="0.75" bottom="0.75" header="0.3" footer="0.3"/>
  <pageSetup paperSize="9"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FE3562-F868-44CE-A11B-425F0118E7A8}">
  <sheetPr>
    <tabColor rgb="FF0070C0"/>
  </sheetPr>
  <dimension ref="B2:K27"/>
  <sheetViews>
    <sheetView zoomScale="92" workbookViewId="0">
      <selection activeCell="G22" sqref="G22"/>
    </sheetView>
  </sheetViews>
  <sheetFormatPr defaultColWidth="9.21875" defaultRowHeight="15.6" x14ac:dyDescent="0.3"/>
  <cols>
    <col min="1" max="1" width="9.21875" style="2"/>
    <col min="2" max="2" width="15.88671875" style="2" customWidth="1"/>
    <col min="3" max="3" width="14.77734375" style="2" bestFit="1" customWidth="1"/>
    <col min="4" max="4" width="10.33203125" style="2" bestFit="1" customWidth="1"/>
    <col min="5" max="5" width="17.6640625" style="2" bestFit="1" customWidth="1"/>
    <col min="6" max="6" width="14.21875" style="2" bestFit="1" customWidth="1"/>
    <col min="7" max="7" width="18" style="2" customWidth="1"/>
    <col min="8" max="8" width="11.21875" style="2" bestFit="1" customWidth="1"/>
    <col min="9" max="9" width="20" style="2" bestFit="1" customWidth="1"/>
    <col min="10" max="10" width="13.77734375" style="2" bestFit="1" customWidth="1"/>
    <col min="11" max="16384" width="9.21875" style="2"/>
  </cols>
  <sheetData>
    <row r="2" spans="2:10" ht="16.2" thickBot="1" x14ac:dyDescent="0.35">
      <c r="B2" s="816" t="s">
        <v>447</v>
      </c>
      <c r="C2" s="817"/>
      <c r="D2" s="817"/>
      <c r="E2" s="817"/>
      <c r="F2" s="818"/>
      <c r="G2" s="5"/>
    </row>
    <row r="3" spans="2:10" ht="31.8" thickBot="1" x14ac:dyDescent="0.35">
      <c r="B3" s="405" t="s">
        <v>448</v>
      </c>
      <c r="C3" s="417" t="s">
        <v>449</v>
      </c>
      <c r="D3" s="406" t="s">
        <v>316</v>
      </c>
      <c r="E3" s="406" t="s">
        <v>450</v>
      </c>
      <c r="F3" s="407" t="s">
        <v>451</v>
      </c>
    </row>
    <row r="4" spans="2:10" x14ac:dyDescent="0.3">
      <c r="B4" s="387">
        <v>1</v>
      </c>
      <c r="C4" s="388" t="s">
        <v>452</v>
      </c>
      <c r="D4" s="389">
        <v>12.86</v>
      </c>
      <c r="E4" s="389">
        <v>22.73</v>
      </c>
      <c r="F4" s="390">
        <v>59.39</v>
      </c>
      <c r="J4" s="391"/>
    </row>
    <row r="5" spans="2:10" x14ac:dyDescent="0.3">
      <c r="B5" s="392">
        <v>2</v>
      </c>
      <c r="C5" s="282" t="s">
        <v>453</v>
      </c>
      <c r="D5" s="304">
        <v>4.08</v>
      </c>
      <c r="E5" s="304">
        <v>4.41</v>
      </c>
      <c r="F5" s="306">
        <v>18.48</v>
      </c>
      <c r="J5" s="391"/>
    </row>
    <row r="6" spans="2:10" x14ac:dyDescent="0.3">
      <c r="B6" s="392">
        <v>3</v>
      </c>
      <c r="C6" s="282" t="s">
        <v>454</v>
      </c>
      <c r="D6" s="304">
        <v>12.75</v>
      </c>
      <c r="E6" s="304">
        <v>3.24</v>
      </c>
      <c r="F6" s="306">
        <v>115.99</v>
      </c>
      <c r="J6" s="391"/>
    </row>
    <row r="7" spans="2:10" x14ac:dyDescent="0.3">
      <c r="B7" s="392">
        <v>4</v>
      </c>
      <c r="C7" s="282" t="s">
        <v>455</v>
      </c>
      <c r="D7" s="304">
        <v>1.69</v>
      </c>
      <c r="E7" s="304">
        <v>1.22</v>
      </c>
      <c r="F7" s="306">
        <v>8.51</v>
      </c>
      <c r="J7" s="391"/>
    </row>
    <row r="8" spans="2:10" x14ac:dyDescent="0.3">
      <c r="B8" s="392">
        <v>5</v>
      </c>
      <c r="C8" s="282" t="s">
        <v>456</v>
      </c>
      <c r="D8" s="304">
        <v>1.5</v>
      </c>
      <c r="E8" s="304">
        <v>1.64</v>
      </c>
      <c r="F8" s="306">
        <v>8.43</v>
      </c>
      <c r="J8" s="391"/>
    </row>
    <row r="9" spans="2:10" x14ac:dyDescent="0.3">
      <c r="B9" s="393"/>
      <c r="C9" s="408" t="s">
        <v>457</v>
      </c>
      <c r="D9" s="394">
        <f>AVERAGE(D4:D8)</f>
        <v>6.5759999999999987</v>
      </c>
      <c r="E9" s="394">
        <f>AVERAGE(E4:E8)</f>
        <v>6.6480000000000006</v>
      </c>
      <c r="F9" s="395">
        <f>AVERAGE(F4:F8)</f>
        <v>42.160000000000004</v>
      </c>
    </row>
    <row r="10" spans="2:10" x14ac:dyDescent="0.3">
      <c r="B10" s="5"/>
      <c r="C10" s="5"/>
      <c r="D10" s="396"/>
      <c r="E10" s="396"/>
      <c r="F10" s="396"/>
      <c r="G10" s="396"/>
      <c r="H10" s="396"/>
      <c r="I10" s="396"/>
      <c r="J10" s="396"/>
    </row>
    <row r="12" spans="2:10" ht="17.399999999999999" x14ac:dyDescent="0.3">
      <c r="B12" s="813" t="s">
        <v>458</v>
      </c>
      <c r="C12" s="814"/>
      <c r="D12" s="814"/>
      <c r="E12" s="814"/>
      <c r="F12" s="815"/>
      <c r="G12" s="5"/>
    </row>
    <row r="13" spans="2:10" x14ac:dyDescent="0.3">
      <c r="B13" s="409"/>
      <c r="C13" s="410" t="s">
        <v>404</v>
      </c>
      <c r="D13" s="410" t="s">
        <v>459</v>
      </c>
      <c r="E13" s="397"/>
      <c r="F13" s="411" t="s">
        <v>460</v>
      </c>
    </row>
    <row r="14" spans="2:10" ht="18.75" customHeight="1" x14ac:dyDescent="0.3">
      <c r="B14" s="398" t="s">
        <v>461</v>
      </c>
      <c r="C14" s="424">
        <f>Case!F18</f>
        <v>407367</v>
      </c>
      <c r="D14" s="399">
        <f>D9</f>
        <v>6.5759999999999987</v>
      </c>
      <c r="E14" s="421">
        <f>C14*D14</f>
        <v>2678845.3919999995</v>
      </c>
      <c r="F14" s="810">
        <f>AVERAGE(E14:E16)</f>
        <v>3662155.2373333336</v>
      </c>
    </row>
    <row r="15" spans="2:10" x14ac:dyDescent="0.3">
      <c r="B15" s="400" t="s">
        <v>462</v>
      </c>
      <c r="C15" s="425">
        <f>Case!F68</f>
        <v>335890</v>
      </c>
      <c r="D15" s="304">
        <f>E9</f>
        <v>6.6480000000000006</v>
      </c>
      <c r="E15" s="422">
        <f>C15*D15</f>
        <v>2232996.7200000002</v>
      </c>
      <c r="F15" s="811"/>
    </row>
    <row r="16" spans="2:10" x14ac:dyDescent="0.3">
      <c r="B16" s="401" t="s">
        <v>463</v>
      </c>
      <c r="C16" s="426">
        <f>Case!F36+Case!F34</f>
        <v>144085</v>
      </c>
      <c r="D16" s="402">
        <f>F9</f>
        <v>42.160000000000004</v>
      </c>
      <c r="E16" s="423">
        <f>C16*D16</f>
        <v>6074623.6000000006</v>
      </c>
      <c r="F16" s="812"/>
    </row>
    <row r="19" spans="2:11" ht="22.05" customHeight="1" x14ac:dyDescent="0.3">
      <c r="B19" s="819" t="s">
        <v>464</v>
      </c>
      <c r="C19" s="819"/>
      <c r="D19" s="819"/>
      <c r="E19" s="819"/>
      <c r="F19" s="819"/>
      <c r="G19" s="819"/>
      <c r="H19" s="659"/>
      <c r="I19" s="659"/>
      <c r="J19" s="659"/>
      <c r="K19" s="403"/>
    </row>
    <row r="20" spans="2:11" ht="22.05" customHeight="1" x14ac:dyDescent="0.3">
      <c r="B20" s="819"/>
      <c r="C20" s="819"/>
      <c r="D20" s="819"/>
      <c r="E20" s="819"/>
      <c r="F20" s="819"/>
      <c r="G20" s="819"/>
      <c r="H20" s="660"/>
      <c r="I20" s="660"/>
      <c r="J20" s="660"/>
      <c r="K20" s="403"/>
    </row>
    <row r="21" spans="2:11" ht="16.2" thickBot="1" x14ac:dyDescent="0.35"/>
    <row r="22" spans="2:11" x14ac:dyDescent="0.3">
      <c r="B22" s="413" t="s">
        <v>194</v>
      </c>
      <c r="C22" s="414" t="s">
        <v>536</v>
      </c>
    </row>
    <row r="23" spans="2:11" ht="31.95" customHeight="1" x14ac:dyDescent="0.3">
      <c r="B23" s="415" t="s">
        <v>465</v>
      </c>
      <c r="C23" s="418">
        <f>('Balance sheet'!F41+'Balance sheet'!F35)</f>
        <v>41785</v>
      </c>
      <c r="E23" s="133"/>
    </row>
    <row r="24" spans="2:11" ht="31.2" x14ac:dyDescent="0.3">
      <c r="B24" s="415" t="s">
        <v>466</v>
      </c>
      <c r="C24" s="418">
        <f>'Balance sheet'!F20</f>
        <v>9561</v>
      </c>
      <c r="E24" s="391"/>
    </row>
    <row r="25" spans="2:11" x14ac:dyDescent="0.3">
      <c r="B25" s="433" t="s">
        <v>467</v>
      </c>
      <c r="C25" s="432">
        <f>F14-C23+C24</f>
        <v>3629931.2373333336</v>
      </c>
      <c r="E25" s="133"/>
    </row>
    <row r="26" spans="2:11" ht="16.2" thickBot="1" x14ac:dyDescent="0.35">
      <c r="B26" s="416" t="s">
        <v>468</v>
      </c>
      <c r="C26" s="419">
        <f>Input!F110</f>
        <v>3440.7107999999998</v>
      </c>
      <c r="E26" s="133"/>
    </row>
    <row r="27" spans="2:11" ht="47.4" thickBot="1" x14ac:dyDescent="0.35">
      <c r="B27" s="412" t="s">
        <v>535</v>
      </c>
      <c r="C27" s="420">
        <f>C25/C26</f>
        <v>1054.9945776707923</v>
      </c>
      <c r="E27" s="404"/>
    </row>
  </sheetData>
  <mergeCells count="4">
    <mergeCell ref="F14:F16"/>
    <mergeCell ref="B12:F12"/>
    <mergeCell ref="B2:F2"/>
    <mergeCell ref="B19:G20"/>
  </mergeCells>
  <pageMargins left="0.7" right="0.7" top="0.75" bottom="0.75" header="0.3" footer="0.3"/>
  <pageSetup paperSize="9"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A07520-BA54-4484-8E94-62F9B31E2989}">
  <sheetPr>
    <tabColor rgb="FFCC3300"/>
  </sheetPr>
  <dimension ref="B2:F10"/>
  <sheetViews>
    <sheetView workbookViewId="0">
      <selection activeCell="F7" sqref="F7"/>
    </sheetView>
  </sheetViews>
  <sheetFormatPr defaultColWidth="8.77734375" defaultRowHeight="15.6" x14ac:dyDescent="0.3"/>
  <cols>
    <col min="1" max="1" width="8.77734375" style="2"/>
    <col min="2" max="2" width="18" style="2" bestFit="1" customWidth="1"/>
    <col min="3" max="3" width="16.109375" style="2" bestFit="1" customWidth="1"/>
    <col min="4" max="4" width="13.5546875" style="2" bestFit="1" customWidth="1"/>
    <col min="5" max="5" width="12" style="2" bestFit="1" customWidth="1"/>
    <col min="6" max="16384" width="8.77734375" style="2"/>
  </cols>
  <sheetData>
    <row r="2" spans="2:6" ht="16.2" thickBot="1" x14ac:dyDescent="0.35"/>
    <row r="3" spans="2:6" ht="18" thickBot="1" x14ac:dyDescent="0.35">
      <c r="B3" s="820" t="s">
        <v>496</v>
      </c>
      <c r="C3" s="821"/>
      <c r="D3" s="821"/>
      <c r="E3" s="821"/>
      <c r="F3" s="822"/>
    </row>
    <row r="4" spans="2:6" ht="16.2" thickBot="1" x14ac:dyDescent="0.35">
      <c r="B4" s="678" t="s">
        <v>494</v>
      </c>
      <c r="C4" s="679" t="s">
        <v>429</v>
      </c>
      <c r="D4" s="679" t="s">
        <v>502</v>
      </c>
      <c r="E4" s="679" t="s">
        <v>503</v>
      </c>
      <c r="F4" s="680" t="s">
        <v>501</v>
      </c>
    </row>
    <row r="5" spans="2:6" x14ac:dyDescent="0.3">
      <c r="B5" s="681" t="s">
        <v>495</v>
      </c>
      <c r="C5" s="661"/>
      <c r="D5" s="661">
        <f>Input!$F$137</f>
        <v>615.25</v>
      </c>
      <c r="E5" s="662" t="str">
        <f t="shared" ref="E5:E10" si="0">IF(D5&lt;C5,"Undervalued","Overvalued")</f>
        <v>Overvalued</v>
      </c>
      <c r="F5" s="663" t="str">
        <f t="shared" ref="F5:F10" si="1">IF(D5&lt;C5,"Buy","Sell")</f>
        <v>Sell</v>
      </c>
    </row>
    <row r="6" spans="2:6" x14ac:dyDescent="0.3">
      <c r="B6" s="664" t="s">
        <v>498</v>
      </c>
      <c r="C6" s="665">
        <f>'Scenario Summary DDM'!E8</f>
        <v>430.12928866082501</v>
      </c>
      <c r="D6" s="665">
        <f>Input!$F$137</f>
        <v>615.25</v>
      </c>
      <c r="E6" s="666" t="str">
        <f t="shared" si="0"/>
        <v>Overvalued</v>
      </c>
      <c r="F6" s="667" t="str">
        <f t="shared" si="1"/>
        <v>Sell</v>
      </c>
    </row>
    <row r="7" spans="2:6" x14ac:dyDescent="0.3">
      <c r="B7" s="664" t="s">
        <v>499</v>
      </c>
      <c r="C7" s="665">
        <f>'Scenario Summary DDM'!F8</f>
        <v>2496.6697514904299</v>
      </c>
      <c r="D7" s="665">
        <f>Input!$F$137</f>
        <v>615.25</v>
      </c>
      <c r="E7" s="666" t="str">
        <f t="shared" si="0"/>
        <v>Undervalued</v>
      </c>
      <c r="F7" s="667" t="str">
        <f t="shared" si="1"/>
        <v>Buy</v>
      </c>
    </row>
    <row r="8" spans="2:6" ht="16.2" thickBot="1" x14ac:dyDescent="0.35">
      <c r="B8" s="668" t="s">
        <v>500</v>
      </c>
      <c r="C8" s="669">
        <f>'Scenario Summary DDM'!G8</f>
        <v>251.487867450316</v>
      </c>
      <c r="D8" s="669">
        <f>Input!$F$137</f>
        <v>615.25</v>
      </c>
      <c r="E8" s="670" t="str">
        <f t="shared" si="0"/>
        <v>Overvalued</v>
      </c>
      <c r="F8" s="671" t="str">
        <f t="shared" si="1"/>
        <v>Sell</v>
      </c>
    </row>
    <row r="9" spans="2:6" ht="16.2" thickBot="1" x14ac:dyDescent="0.35">
      <c r="B9" s="682" t="s">
        <v>386</v>
      </c>
      <c r="C9" s="672">
        <f ca="1">'Valuation- FCFF '!C22</f>
        <v>39.371208819476038</v>
      </c>
      <c r="D9" s="672">
        <f>Input!$F$137</f>
        <v>615.25</v>
      </c>
      <c r="E9" s="673" t="str">
        <f t="shared" ca="1" si="0"/>
        <v>Overvalued</v>
      </c>
      <c r="F9" s="674" t="str">
        <f t="shared" ca="1" si="1"/>
        <v>Sell</v>
      </c>
    </row>
    <row r="10" spans="2:6" ht="16.2" thickBot="1" x14ac:dyDescent="0.35">
      <c r="B10" s="683" t="s">
        <v>497</v>
      </c>
      <c r="C10" s="675">
        <f>'Relative Valuation'!C27</f>
        <v>1054.9945776707923</v>
      </c>
      <c r="D10" s="675">
        <f>Input!$F$137</f>
        <v>615.25</v>
      </c>
      <c r="E10" s="676" t="str">
        <f t="shared" si="0"/>
        <v>Undervalued</v>
      </c>
      <c r="F10" s="677" t="str">
        <f t="shared" si="1"/>
        <v>Buy</v>
      </c>
    </row>
  </sheetData>
  <mergeCells count="1">
    <mergeCell ref="B3:F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15</vt:i4>
      </vt:variant>
      <vt:variant>
        <vt:lpstr>Named Ranges</vt:lpstr>
      </vt:variant>
      <vt:variant>
        <vt:i4>2</vt:i4>
      </vt:variant>
    </vt:vector>
  </HeadingPairs>
  <TitlesOfParts>
    <vt:vector size="17" baseType="lpstr">
      <vt:lpstr>Cover sheet</vt:lpstr>
      <vt:lpstr>EIC Analysis</vt:lpstr>
      <vt:lpstr>Case</vt:lpstr>
      <vt:lpstr>Assumptions </vt:lpstr>
      <vt:lpstr>Input</vt:lpstr>
      <vt:lpstr>Model- Income statement</vt:lpstr>
      <vt:lpstr>Balance sheet</vt:lpstr>
      <vt:lpstr>Cash flow</vt:lpstr>
      <vt:lpstr>Ratios</vt:lpstr>
      <vt:lpstr>Beta &amp; Rm</vt:lpstr>
      <vt:lpstr>Scenario Summary DDM</vt:lpstr>
      <vt:lpstr>Valuation- DDM</vt:lpstr>
      <vt:lpstr>Valuation- FCFF </vt:lpstr>
      <vt:lpstr>Relative Valuation</vt:lpstr>
      <vt:lpstr>Buy &amp; Sell Decision</vt:lpstr>
      <vt:lpstr>Stable_Growth_Rate</vt:lpstr>
      <vt:lpstr>Value_Per_Share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Devak Patel</dc:creator>
  <cp:keywords/>
  <dc:description/>
  <cp:lastModifiedBy>Devak Patel</cp:lastModifiedBy>
  <cp:revision/>
  <dcterms:created xsi:type="dcterms:W3CDTF">2023-02-28T06:37:57Z</dcterms:created>
  <dcterms:modified xsi:type="dcterms:W3CDTF">2023-04-29T04:18:24Z</dcterms:modified>
  <cp:category/>
  <cp:contentStatus/>
</cp:coreProperties>
</file>